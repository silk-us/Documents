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llyn.gorman/Downloads/"/>
    </mc:Choice>
  </mc:AlternateContent>
  <xr:revisionPtr revIDLastSave="0" documentId="8_{277C323A-B5F4-7040-9892-FB6AAB078D46}" xr6:coauthVersionLast="47" xr6:coauthVersionMax="47" xr10:uidLastSave="{00000000-0000-0000-0000-000000000000}"/>
  <bookViews>
    <workbookView xWindow="27360" yWindow="-3100" windowWidth="29040" windowHeight="16440" xr2:uid="{B5A66F4D-52B7-4754-9584-EB2C94538BF5}"/>
  </bookViews>
  <sheets>
    <sheet name="AWR" sheetId="2" r:id="rId1"/>
    <sheet name="Calculations" sheetId="1" r:id="rId2"/>
    <sheet name="Architecture" sheetId="3" r:id="rId3"/>
  </sheets>
  <definedNames>
    <definedName name="BusyCPUfactor">AWR!$F$32</definedName>
    <definedName name="BusyCPUmultiplier">AWR!$F$33</definedName>
    <definedName name="HighCpuThreshold">AWR!$F$32</definedName>
    <definedName name="IoMetricsFactor">AWR!$F$30</definedName>
    <definedName name="PeakCPUfactor" localSheetId="0">AWR!$F$28</definedName>
    <definedName name="PeakCpuFactor">AWR!$F$28</definedName>
    <definedName name="PeakRAMfactor" localSheetId="0">AWR!$F$29</definedName>
    <definedName name="PeakRAMfactor">AWR!$F$29</definedName>
    <definedName name="vCPUHTFactor">AWR!$F$31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65" i="1" l="1"/>
  <c r="H69" i="1" s="1"/>
  <c r="L56" i="1"/>
  <c r="M56" i="1" s="1"/>
  <c r="L57" i="1"/>
  <c r="M57" i="1" s="1"/>
  <c r="L58" i="1"/>
  <c r="M58" i="1" s="1"/>
  <c r="L59" i="1"/>
  <c r="M59" i="1" s="1"/>
  <c r="L60" i="1"/>
  <c r="M60" i="1" s="1"/>
  <c r="L65" i="1"/>
  <c r="G67" i="1" s="1"/>
  <c r="M49" i="1"/>
  <c r="L49" i="1"/>
  <c r="L55" i="1" s="1"/>
  <c r="C40" i="1"/>
  <c r="C41" i="1"/>
  <c r="D40" i="1"/>
  <c r="D41" i="1"/>
  <c r="E40" i="1"/>
  <c r="E41" i="1"/>
  <c r="F40" i="1"/>
  <c r="F41" i="1"/>
  <c r="G40" i="1"/>
  <c r="G41" i="1"/>
  <c r="H41" i="1"/>
  <c r="I40" i="1"/>
  <c r="I41" i="1"/>
  <c r="J40" i="1"/>
  <c r="J41" i="1"/>
  <c r="K40" i="1"/>
  <c r="K41" i="1"/>
  <c r="C42" i="1"/>
  <c r="C43" i="1"/>
  <c r="D42" i="1"/>
  <c r="D43" i="1"/>
  <c r="E42" i="1"/>
  <c r="E43" i="1"/>
  <c r="F42" i="1"/>
  <c r="F43" i="1"/>
  <c r="G42" i="1"/>
  <c r="G43" i="1"/>
  <c r="H42" i="1"/>
  <c r="H43" i="1"/>
  <c r="I42" i="1"/>
  <c r="I43" i="1"/>
  <c r="J42" i="1"/>
  <c r="J43" i="1"/>
  <c r="K42" i="1"/>
  <c r="K43" i="1"/>
  <c r="C44" i="1"/>
  <c r="C45" i="1"/>
  <c r="D44" i="1"/>
  <c r="D45" i="1"/>
  <c r="E44" i="1"/>
  <c r="E45" i="1"/>
  <c r="F44" i="1"/>
  <c r="F45" i="1"/>
  <c r="G44" i="1"/>
  <c r="G45" i="1"/>
  <c r="H44" i="1"/>
  <c r="H45" i="1"/>
  <c r="I44" i="1"/>
  <c r="I45" i="1"/>
  <c r="J44" i="1"/>
  <c r="J45" i="1"/>
  <c r="K44" i="1"/>
  <c r="K45" i="1"/>
  <c r="D25" i="1"/>
  <c r="D26" i="1"/>
  <c r="D27" i="1"/>
  <c r="E25" i="1"/>
  <c r="E26" i="1"/>
  <c r="E27" i="1"/>
  <c r="F25" i="1"/>
  <c r="F26" i="1"/>
  <c r="F27" i="1"/>
  <c r="G25" i="1"/>
  <c r="G26" i="1"/>
  <c r="G27" i="1"/>
  <c r="H25" i="1"/>
  <c r="H26" i="1"/>
  <c r="H27" i="1"/>
  <c r="D8" i="1"/>
  <c r="D9" i="1"/>
  <c r="D10" i="1"/>
  <c r="D11" i="1"/>
  <c r="D12" i="1"/>
  <c r="E8" i="1"/>
  <c r="E9" i="1"/>
  <c r="E10" i="1"/>
  <c r="E11" i="1"/>
  <c r="E12" i="1"/>
  <c r="F8" i="1"/>
  <c r="F9" i="1"/>
  <c r="F10" i="1"/>
  <c r="F11" i="1"/>
  <c r="F12" i="1"/>
  <c r="G8" i="1"/>
  <c r="G9" i="1"/>
  <c r="G10" i="1"/>
  <c r="G11" i="1"/>
  <c r="G12" i="1"/>
  <c r="H8" i="1"/>
  <c r="H9" i="1"/>
  <c r="H10" i="1"/>
  <c r="H11" i="1"/>
  <c r="H12" i="1"/>
  <c r="R9" i="2"/>
  <c r="R10" i="2"/>
  <c r="R11" i="2"/>
  <c r="R12" i="2"/>
  <c r="R13" i="2"/>
  <c r="S9" i="2"/>
  <c r="S10" i="2"/>
  <c r="S11" i="2"/>
  <c r="S12" i="2"/>
  <c r="S13" i="2"/>
  <c r="T9" i="2"/>
  <c r="T10" i="2"/>
  <c r="T11" i="2"/>
  <c r="T12" i="2"/>
  <c r="T13" i="2"/>
  <c r="U9" i="2"/>
  <c r="U10" i="2"/>
  <c r="U11" i="2"/>
  <c r="U12" i="2"/>
  <c r="U13" i="2"/>
  <c r="V9" i="2"/>
  <c r="V10" i="2"/>
  <c r="V11" i="2"/>
  <c r="V12" i="2"/>
  <c r="V13" i="2"/>
  <c r="W9" i="2"/>
  <c r="W10" i="2"/>
  <c r="W11" i="2"/>
  <c r="W12" i="2"/>
  <c r="W13" i="2"/>
  <c r="R14" i="2"/>
  <c r="R15" i="2"/>
  <c r="R16" i="2"/>
  <c r="R17" i="2"/>
  <c r="R18" i="2"/>
  <c r="S14" i="2"/>
  <c r="S15" i="2"/>
  <c r="S16" i="2"/>
  <c r="S17" i="2"/>
  <c r="S18" i="2"/>
  <c r="T14" i="2"/>
  <c r="T15" i="2"/>
  <c r="T16" i="2"/>
  <c r="T17" i="2"/>
  <c r="T18" i="2"/>
  <c r="U14" i="2"/>
  <c r="U15" i="2"/>
  <c r="U16" i="2"/>
  <c r="U17" i="2"/>
  <c r="U18" i="2"/>
  <c r="V14" i="2"/>
  <c r="V15" i="2"/>
  <c r="V16" i="2"/>
  <c r="V17" i="2"/>
  <c r="V18" i="2"/>
  <c r="W14" i="2"/>
  <c r="W15" i="2"/>
  <c r="W16" i="2"/>
  <c r="W17" i="2"/>
  <c r="W18" i="2"/>
  <c r="H66" i="1"/>
  <c r="G66" i="1"/>
  <c r="F66" i="1"/>
  <c r="O65" i="1"/>
  <c r="H68" i="1" s="1"/>
  <c r="D34" i="1"/>
  <c r="E34" i="1"/>
  <c r="F34" i="1"/>
  <c r="G34" i="1"/>
  <c r="H34" i="1"/>
  <c r="D33" i="1"/>
  <c r="E33" i="1"/>
  <c r="F33" i="1"/>
  <c r="G33" i="1"/>
  <c r="H33" i="1"/>
  <c r="D32" i="1"/>
  <c r="E32" i="1"/>
  <c r="F32" i="1"/>
  <c r="G32" i="1"/>
  <c r="H32" i="1"/>
  <c r="D31" i="1"/>
  <c r="E31" i="1"/>
  <c r="F31" i="1"/>
  <c r="G31" i="1"/>
  <c r="H31" i="1"/>
  <c r="D19" i="1"/>
  <c r="E19" i="1"/>
  <c r="F19" i="1"/>
  <c r="G19" i="1"/>
  <c r="H19" i="1"/>
  <c r="D18" i="1"/>
  <c r="E18" i="1"/>
  <c r="F18" i="1"/>
  <c r="G18" i="1"/>
  <c r="H18" i="1"/>
  <c r="D17" i="1"/>
  <c r="E17" i="1"/>
  <c r="F17" i="1"/>
  <c r="G17" i="1"/>
  <c r="H17" i="1"/>
  <c r="D16" i="1"/>
  <c r="E16" i="1"/>
  <c r="F16" i="1"/>
  <c r="G16" i="1"/>
  <c r="H16" i="1"/>
  <c r="R24" i="2"/>
  <c r="S24" i="2"/>
  <c r="T24" i="2"/>
  <c r="U24" i="2"/>
  <c r="V24" i="2"/>
  <c r="W24" i="2"/>
  <c r="R23" i="2"/>
  <c r="S23" i="2"/>
  <c r="T23" i="2"/>
  <c r="U23" i="2"/>
  <c r="V23" i="2"/>
  <c r="W23" i="2"/>
  <c r="W8" i="2"/>
  <c r="W19" i="2"/>
  <c r="W20" i="2"/>
  <c r="W21" i="2"/>
  <c r="W22" i="2"/>
  <c r="W25" i="2"/>
  <c r="D24" i="1"/>
  <c r="H24" i="1" s="1"/>
  <c r="D28" i="1"/>
  <c r="H28" i="1" s="1"/>
  <c r="D29" i="1"/>
  <c r="H29" i="1" s="1"/>
  <c r="D30" i="1"/>
  <c r="H30" i="1" s="1"/>
  <c r="T8" i="2"/>
  <c r="T19" i="2"/>
  <c r="T20" i="2"/>
  <c r="T21" i="2"/>
  <c r="T22" i="2"/>
  <c r="T25" i="2"/>
  <c r="L64" i="1" l="1"/>
  <c r="M64" i="1" s="1"/>
  <c r="L63" i="1"/>
  <c r="M63" i="1" s="1"/>
  <c r="L62" i="1"/>
  <c r="M62" i="1" s="1"/>
  <c r="L61" i="1"/>
  <c r="M61" i="1" s="1"/>
  <c r="M55" i="1"/>
  <c r="M65" i="1"/>
  <c r="H67" i="1" s="1"/>
  <c r="F69" i="1"/>
  <c r="G69" i="1"/>
  <c r="H70" i="1"/>
  <c r="F68" i="1"/>
  <c r="G68" i="1"/>
  <c r="C39" i="1"/>
  <c r="C46" i="1"/>
  <c r="C47" i="1"/>
  <c r="C48" i="1"/>
  <c r="D48" i="1"/>
  <c r="E48" i="1" s="1"/>
  <c r="V25" i="2"/>
  <c r="U25" i="2"/>
  <c r="S25" i="2"/>
  <c r="R25" i="2"/>
  <c r="V22" i="2"/>
  <c r="U22" i="2"/>
  <c r="S22" i="2"/>
  <c r="R22" i="2"/>
  <c r="V21" i="2"/>
  <c r="U21" i="2"/>
  <c r="S21" i="2"/>
  <c r="F48" i="1" s="1"/>
  <c r="H48" i="1" s="1"/>
  <c r="R21" i="2"/>
  <c r="G48" i="1" s="1"/>
  <c r="I48" i="1" s="1"/>
  <c r="V20" i="2"/>
  <c r="D47" i="1" s="1"/>
  <c r="E47" i="1" s="1"/>
  <c r="U20" i="2"/>
  <c r="S20" i="2"/>
  <c r="F47" i="1" s="1"/>
  <c r="H47" i="1" s="1"/>
  <c r="R20" i="2"/>
  <c r="G47" i="1" s="1"/>
  <c r="I47" i="1" s="1"/>
  <c r="V19" i="2"/>
  <c r="D46" i="1" s="1"/>
  <c r="E46" i="1" s="1"/>
  <c r="U19" i="2"/>
  <c r="S19" i="2"/>
  <c r="F46" i="1" s="1"/>
  <c r="H46" i="1" s="1"/>
  <c r="R19" i="2"/>
  <c r="G46" i="1" s="1"/>
  <c r="I46" i="1" s="1"/>
  <c r="V8" i="2"/>
  <c r="D39" i="1" s="1"/>
  <c r="E39" i="1" s="1"/>
  <c r="U8" i="2"/>
  <c r="S8" i="2"/>
  <c r="F39" i="1" s="1"/>
  <c r="H39" i="1" s="1"/>
  <c r="R8" i="2"/>
  <c r="G70" i="1" l="1"/>
  <c r="G39" i="1"/>
  <c r="I39" i="1" s="1"/>
  <c r="G24" i="1"/>
  <c r="F29" i="1"/>
  <c r="F30" i="1"/>
  <c r="G29" i="1"/>
  <c r="G30" i="1"/>
  <c r="G7" i="1"/>
  <c r="G13" i="1"/>
  <c r="G15" i="1"/>
  <c r="G14" i="1" l="1"/>
  <c r="G20" i="1" s="1"/>
  <c r="G28" i="1"/>
  <c r="G49" i="1"/>
  <c r="I49" i="1"/>
  <c r="G35" i="1" l="1"/>
  <c r="F28" i="1"/>
  <c r="D13" i="1"/>
  <c r="H13" i="1" s="1"/>
  <c r="E13" i="1"/>
  <c r="F13" i="1"/>
  <c r="D14" i="1"/>
  <c r="H14" i="1" s="1"/>
  <c r="J47" i="1" s="1"/>
  <c r="K47" i="1" s="1"/>
  <c r="E14" i="1"/>
  <c r="F14" i="1"/>
  <c r="F15" i="1" l="1"/>
  <c r="E15" i="1"/>
  <c r="D15" i="1"/>
  <c r="H15" i="1" s="1"/>
  <c r="J48" i="1" s="1"/>
  <c r="K48" i="1" s="1"/>
  <c r="E28" i="1"/>
  <c r="E29" i="1"/>
  <c r="E30" i="1"/>
  <c r="D7" i="1"/>
  <c r="J46" i="1" l="1"/>
  <c r="K46" i="1" s="1"/>
  <c r="H35" i="1"/>
  <c r="H7" i="1"/>
  <c r="J39" i="1" s="1"/>
  <c r="K39" i="1" s="1"/>
  <c r="H49" i="1"/>
  <c r="F7" i="1"/>
  <c r="F24" i="1"/>
  <c r="F35" i="1" s="1"/>
  <c r="E7" i="1"/>
  <c r="E24" i="1"/>
  <c r="D49" i="1"/>
  <c r="F20" i="1" l="1"/>
  <c r="D20" i="1" l="1"/>
  <c r="E20" i="1"/>
  <c r="H20" i="1" l="1"/>
  <c r="E49" i="1" l="1"/>
  <c r="K49" i="1"/>
  <c r="K55" i="1" s="1"/>
  <c r="K56" i="1" l="1"/>
  <c r="K57" i="1" s="1"/>
  <c r="K58" i="1" s="1"/>
  <c r="D35" i="1"/>
  <c r="C49" i="1"/>
  <c r="E35" i="1"/>
  <c r="J49" i="1"/>
  <c r="F49" i="1"/>
  <c r="K59" i="1" l="1"/>
  <c r="K60" i="1" s="1"/>
  <c r="K61" i="1" s="1"/>
  <c r="K62" i="1" l="1"/>
  <c r="K63" i="1" s="1"/>
  <c r="K64" i="1"/>
  <c r="K65" i="1" s="1"/>
  <c r="F67" i="1" s="1"/>
  <c r="F7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B7" authorId="0" shapeId="0" xr:uid="{56A208CC-F090-4244-A22D-D14CEC187070}">
      <text>
        <r>
          <rPr>
            <b/>
            <sz val="9"/>
            <color rgb="FF000000"/>
            <rFont val="Tahoma"/>
            <family val="2"/>
          </rPr>
          <t>Copied from "Database Summary" section at very top of AWR report</t>
        </r>
      </text>
    </comment>
    <comment ref="C7" authorId="0" shapeId="0" xr:uid="{C9815722-1148-45F6-BFEF-819A3A9157CF}">
      <text>
        <r>
          <rPr>
            <b/>
            <sz val="9"/>
            <color rgb="FF000000"/>
            <rFont val="Tahoma"/>
            <family val="2"/>
          </rPr>
          <t>Copied from "Database Summary" section at very top of AWR report</t>
        </r>
      </text>
    </comment>
    <comment ref="D7" authorId="0" shapeId="0" xr:uid="{C1B73952-AB3A-45D0-8F3D-171B92CF4498}">
      <text>
        <r>
          <rPr>
            <b/>
            <sz val="9"/>
            <color rgb="FF000000"/>
            <rFont val="Tahoma"/>
            <family val="2"/>
          </rPr>
          <t>Copied from "Database Summary" section at very top of AWR report</t>
        </r>
      </text>
    </comment>
    <comment ref="E7" authorId="0" shapeId="0" xr:uid="{2F866C56-2DF9-4F7D-A28B-D86A3B4F708D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F7" authorId="0" shapeId="0" xr:uid="{187E827A-E0F9-4D33-8A52-BD9E495A4EEA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G7" authorId="0" shapeId="0" xr:uid="{BE60BDCB-E23C-4C23-94A0-6882BED9AB27}">
      <text>
        <r>
          <rPr>
            <b/>
            <sz val="9"/>
            <color indexed="81"/>
            <rFont val="Tahoma"/>
            <family val="2"/>
          </rPr>
          <t>Copied from "Time Model Statistics" section, statistic named "DB CPU", near top of AWR report</t>
        </r>
      </text>
    </comment>
    <comment ref="H7" authorId="0" shapeId="0" xr:uid="{F153907A-CCC9-4558-837C-D0EA52C98B0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I7" authorId="0" shapeId="0" xr:uid="{D7ECFD29-03B9-4BC0-BC0E-0D346F569E45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J7" authorId="0" shapeId="0" xr:uid="{282237EF-3A8B-455F-807A-01CB607C78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K7" authorId="0" shapeId="0" xr:uid="{FE210763-BA3D-487A-B5CE-EE8E7ADCC337}">
      <text>
        <r>
          <rPr>
            <b/>
            <sz val="9"/>
            <color indexed="81"/>
            <rFont val="Tahoma"/>
            <family val="2"/>
          </rPr>
          <t>Copied from "Instance CPU" section of AWR report</t>
        </r>
      </text>
    </comment>
    <comment ref="L7" authorId="0" shapeId="0" xr:uid="{A38CA77A-6314-4E8E-A582-BDE5DC1D13A5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M7" authorId="0" shapeId="0" xr:uid="{216063AB-2C8E-427D-BA6B-658FE2CEF262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N7" authorId="0" shapeId="0" xr:uid="{413D77D7-83CD-4089-A85D-9B828B440DC2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O7" authorId="0" shapeId="0" xr:uid="{7ECB9D31-AE22-45F0-B917-DA1A7769C550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P7" authorId="0" shapeId="0" xr:uid="{B5DF301B-6330-4E35-897D-09D8A881C8F3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Q7" authorId="0" shapeId="0" xr:uid="{16F84460-D708-4A40-91B4-2DAC245170ED}">
      <text>
        <r>
          <rPr>
            <b/>
            <sz val="9"/>
            <color rgb="FF000000"/>
            <rFont val="Tahoma"/>
            <family val="2"/>
          </rPr>
          <t>Copied from "Load Profile" section of AWR report</t>
        </r>
      </text>
    </comment>
    <comment ref="D28" authorId="0" shapeId="0" xr:uid="{E21E9859-F0CD-486F-879B-C2D9FF9A5B86}">
      <text>
        <r>
          <rPr>
            <b/>
            <sz val="9"/>
            <color rgb="FF000000"/>
            <rFont val="Tahoma"/>
            <family val="2"/>
          </rPr>
          <t>Rationale for peak vCPU factor is that CPU utilization stays below 33% on average</t>
        </r>
      </text>
    </comment>
    <comment ref="D29" authorId="0" shapeId="0" xr:uid="{559BF7AC-E839-4692-88C8-D6A19E7A2859}">
      <text>
        <r>
          <rPr>
            <b/>
            <sz val="9"/>
            <color indexed="81"/>
            <rFont val="Tahoma"/>
            <family val="2"/>
          </rPr>
          <t>Rationale for vRAM factor is that SGA+PGA = (about 2/3 of total vRAM)</t>
        </r>
      </text>
    </comment>
    <comment ref="D30" authorId="0" shapeId="0" xr:uid="{622297FB-C5C4-472F-A57D-A14094C20285}">
      <text>
        <r>
          <rPr>
            <b/>
            <sz val="9"/>
            <color indexed="81"/>
            <rFont val="Tahoma"/>
            <family val="2"/>
          </rPr>
          <t>Rationale is that observed AWR readings are "average" and this multiplier is for "peak" readings</t>
        </r>
      </text>
    </comment>
    <comment ref="D31" authorId="0" shapeId="0" xr:uid="{FE59ACCB-AEBB-492F-9554-0BF53038DD4E}">
      <text>
        <r>
          <rPr>
            <b/>
            <sz val="9"/>
            <color indexed="81"/>
            <rFont val="Tahoma"/>
            <family val="2"/>
          </rPr>
          <t>Number of hyperthreads in an Azure VM</t>
        </r>
      </text>
    </comment>
    <comment ref="D32" authorId="0" shapeId="0" xr:uid="{59AAAF4A-6D4B-4B10-A95D-EF425EB83C9F}">
      <text>
        <r>
          <rPr>
            <b/>
            <sz val="9"/>
            <color indexed="81"/>
            <rFont val="Tahoma"/>
            <family val="2"/>
          </rPr>
          <t>Threshold for "%busy CPU" when server CPU utilization is high enough to imply "thrashing"</t>
        </r>
      </text>
    </comment>
    <comment ref="D33" authorId="0" shapeId="0" xr:uid="{D7427406-F23F-4D5F-80D5-ED4D30FD5BE5}">
      <text>
        <r>
          <rPr>
            <b/>
            <sz val="9"/>
            <color indexed="81"/>
            <rFont val="Tahoma"/>
            <family val="2"/>
          </rPr>
          <t>If "%busy CPU" is higher than threshold, use this multiplier when calculating Azure vCPUs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C6" authorId="0" shapeId="0" xr:uid="{6BAA05F8-624D-4588-8522-CC11285F9D5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</commentList>
</comments>
</file>

<file path=xl/sharedStrings.xml><?xml version="1.0" encoding="utf-8"?>
<sst xmlns="http://schemas.openxmlformats.org/spreadsheetml/2006/main" count="132" uniqueCount="104">
  <si>
    <t>DB Name</t>
  </si>
  <si>
    <t>Instance Name</t>
  </si>
  <si>
    <t>Host Name</t>
  </si>
  <si>
    <t>Read IOPS</t>
  </si>
  <si>
    <t>Write IOPS</t>
  </si>
  <si>
    <t>Total IOPS</t>
  </si>
  <si>
    <t>Est'd Azure vCPUs</t>
  </si>
  <si>
    <t>Total</t>
  </si>
  <si>
    <t>Est'd Azure vCPUs for avg load</t>
  </si>
  <si>
    <t>Est'd Azure vCPUs for peak load</t>
  </si>
  <si>
    <t>Elapsed Time (mins)</t>
  </si>
  <si>
    <t>DB Time (mins)</t>
  </si>
  <si>
    <t>Memory (GB)</t>
  </si>
  <si>
    <t>CPUs</t>
  </si>
  <si>
    <t>Cores</t>
  </si>
  <si>
    <t>AWR detail collected by database instance</t>
  </si>
  <si>
    <t>%busy CPU</t>
  </si>
  <si>
    <t>SGA use (MB)</t>
  </si>
  <si>
    <t>PGA use (MB)</t>
  </si>
  <si>
    <t>DB CPU (s)</t>
  </si>
  <si>
    <t>CPU total capacity (s)</t>
  </si>
  <si>
    <t>ORA use (GB)</t>
  </si>
  <si>
    <t>source CPU HT factor</t>
  </si>
  <si>
    <t>Add information from the AWR report, one row for each instance</t>
  </si>
  <si>
    <t>Please add rows by specifying DB Name, Instance Name, or Host Name as appropriate.</t>
  </si>
  <si>
    <t xml:space="preserve"> The calculated cells already have formulas to aggregate the AWR information added on the other worksheet appropriately.</t>
  </si>
  <si>
    <t>Name</t>
  </si>
  <si>
    <t>Host</t>
  </si>
  <si>
    <t>Read Throughput (MB/s)</t>
  </si>
  <si>
    <t>Write Throughput (MB/s)</t>
  </si>
  <si>
    <t>Total Throughput (MB/s)</t>
  </si>
  <si>
    <t>Est'd Azure IOPS for peak load</t>
  </si>
  <si>
    <t>Est'd Azure Throughput (MB/s) for peak load</t>
  </si>
  <si>
    <t>Est'd Azure vRAM for server</t>
  </si>
  <si>
    <t>Observed memory use (GB)</t>
  </si>
  <si>
    <t>Observed IOPS</t>
  </si>
  <si>
    <t>Observed Throughput (MB/s)</t>
  </si>
  <si>
    <t>%DB Time of Elapsed Time (aka Avg Active Sessions or "AAS")</t>
  </si>
  <si>
    <t>Observed memory (GiB) consumed only by Oracle</t>
  </si>
  <si>
    <t>Observed I/O throughput (MB/s)</t>
  </si>
  <si>
    <t>This worksheet should be password-protected when shared to prevent inadvertent erasure of formulas</t>
  </si>
  <si>
    <t>Calculated detail by database instance from AWR information</t>
  </si>
  <si>
    <t>Aggregated calculations by host from AWR information</t>
  </si>
  <si>
    <t>Aggregated calculations by database from AWR information</t>
  </si>
  <si>
    <t>Please enter specific information from the AWR report on this worksheet.</t>
  </si>
  <si>
    <t>Hint: please mouse-over column headers to view notes suggesting where to find metrics in AWR report</t>
  </si>
  <si>
    <t>Average Active Sessions</t>
  </si>
  <si>
    <t>Est'd Peak CPU factor</t>
  </si>
  <si>
    <t>Est'd Peak RAM factor</t>
  </si>
  <si>
    <t>Est'd Peak I/O factor</t>
  </si>
  <si>
    <t>%Busy CPU-thrashing threshold</t>
  </si>
  <si>
    <t>%Busy CPU-thrashing multiplier</t>
  </si>
  <si>
    <t>vCPU HT multiplier</t>
  </si>
  <si>
    <t>Name of "fudge factor" adjustable</t>
  </si>
  <si>
    <t>Setting</t>
  </si>
  <si>
    <t>Default value</t>
  </si>
  <si>
    <t>Please do not change the default values</t>
  </si>
  <si>
    <t>Possible recommendations:</t>
  </si>
  <si>
    <t>Calculated vCPU x vRAM:</t>
  </si>
  <si>
    <t>Monthly pricing</t>
  </si>
  <si>
    <t xml:space="preserve"> </t>
  </si>
  <si>
    <t>Quantity</t>
  </si>
  <si>
    <t>vCPU x vRAM</t>
  </si>
  <si>
    <t>Pay-as-you-go</t>
  </si>
  <si>
    <t>1-year</t>
  </si>
  <si>
    <t>3-year</t>
  </si>
  <si>
    <t>Storage Type</t>
  </si>
  <si>
    <t>Storage Cost</t>
  </si>
  <si>
    <t>OS Disk Type</t>
  </si>
  <si>
    <t>OS Disk Cost</t>
  </si>
  <si>
    <t>Compute Cost</t>
  </si>
  <si>
    <t>Total Monthly Azure Cost</t>
  </si>
  <si>
    <t>Notes</t>
  </si>
  <si>
    <t>Constrained vCPU sizes - Azure Virtual Machines | Microsoft Docs</t>
  </si>
  <si>
    <t>Recommendations:</t>
  </si>
  <si>
    <t>Architecture Example</t>
  </si>
  <si>
    <t>Backup Cost</t>
  </si>
  <si>
    <t>Backup Type</t>
  </si>
  <si>
    <t>DBSize in GB</t>
  </si>
  <si>
    <t>Backup Size</t>
  </si>
  <si>
    <t>* Captured from the dbspace.sql</t>
  </si>
  <si>
    <t>Instructions for filling out this sizing assessment can be found here.</t>
  </si>
  <si>
    <t>PAYG Cost</t>
  </si>
  <si>
    <t>1YR Rsrvd</t>
  </si>
  <si>
    <t>3YR Rsrvd</t>
  </si>
  <si>
    <t>VM SKU</t>
  </si>
  <si>
    <t>Storage Cost:</t>
  </si>
  <si>
    <t>OS Disk Cost:</t>
  </si>
  <si>
    <t>Backup Cost:</t>
  </si>
  <si>
    <t>Silk Data Pod Breakdown</t>
  </si>
  <si>
    <t>SDP#</t>
  </si>
  <si>
    <t>DB Storage Size</t>
  </si>
  <si>
    <t xml:space="preserve">DB MBPs </t>
  </si>
  <si>
    <t>SDP1</t>
  </si>
  <si>
    <t>DB1</t>
  </si>
  <si>
    <t>DB2</t>
  </si>
  <si>
    <t>SDP2</t>
  </si>
  <si>
    <t>DB3</t>
  </si>
  <si>
    <t>Size</t>
  </si>
  <si>
    <t>throughput</t>
  </si>
  <si>
    <t>size</t>
  </si>
  <si>
    <t>SDP3</t>
  </si>
  <si>
    <t>DB4</t>
  </si>
  <si>
    <t>Reference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</si>
</sst>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_-* #,##0_-;\-* #,##0_-;_-* &quot;-&quot;??_-;_-@_-"/>
    <numFmt numFmtId="166" formatCode="&quot;$&quot;#,##0.00"/>
    <numFmt numFmtId="167" formatCode="&quot;$&quot;#,##0.0000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b/>
      <i/>
      <sz val="14"/>
      <color rgb="FF0070C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9"/>
      <color rgb="FF000000"/>
      <name val="Tahoma"/>
      <family val="2"/>
    </font>
    <font>
      <b/>
      <sz val="11"/>
      <color theme="2" tint="-0.499984740745262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2"/>
      <name val="Calibri"/>
      <family val="2"/>
      <scheme val="minor"/>
    </font>
    <font>
      <i/>
      <sz val="12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98"/>
        <bgColor indexed="64"/>
      </patternFill>
    </fill>
    <fill>
      <patternFill patternType="solid">
        <fgColor theme="1" tint="0.34998626667073579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226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3" fillId="0" borderId="0" xfId="0" applyFont="1"/>
    <xf numFmtId="0" fontId="1" fillId="0" borderId="0" xfId="0" applyFont="1" applyAlignment="1">
      <alignment horizontal="left" vertical="top" wrapText="1"/>
    </xf>
    <xf numFmtId="164" fontId="6" fillId="0" borderId="0" xfId="0" applyNumberFormat="1" applyFont="1"/>
    <xf numFmtId="4" fontId="6" fillId="0" borderId="0" xfId="0" applyNumberFormat="1" applyFont="1"/>
    <xf numFmtId="3" fontId="6" fillId="0" borderId="0" xfId="0" applyNumberFormat="1" applyFont="1"/>
    <xf numFmtId="3" fontId="10" fillId="0" borderId="0" xfId="0" applyNumberFormat="1" applyFont="1"/>
    <xf numFmtId="0" fontId="8" fillId="0" borderId="0" xfId="0" applyFont="1"/>
    <xf numFmtId="0" fontId="11" fillId="0" borderId="0" xfId="0" applyFont="1"/>
    <xf numFmtId="4" fontId="8" fillId="0" borderId="0" xfId="0" applyNumberFormat="1" applyFont="1"/>
    <xf numFmtId="164" fontId="11" fillId="0" borderId="0" xfId="0" applyNumberFormat="1" applyFont="1"/>
    <xf numFmtId="0" fontId="11" fillId="0" borderId="0" xfId="0" applyFont="1" applyAlignment="1">
      <alignment horizontal="right"/>
    </xf>
    <xf numFmtId="165" fontId="6" fillId="0" borderId="0" xfId="0" applyNumberFormat="1" applyFont="1"/>
    <xf numFmtId="4" fontId="12" fillId="0" borderId="0" xfId="0" applyNumberFormat="1" applyFont="1"/>
    <xf numFmtId="3" fontId="12" fillId="0" borderId="0" xfId="0" applyNumberFormat="1" applyFont="1"/>
    <xf numFmtId="164" fontId="12" fillId="0" borderId="0" xfId="0" applyNumberFormat="1" applyFont="1"/>
    <xf numFmtId="165" fontId="12" fillId="0" borderId="0" xfId="0" applyNumberFormat="1" applyFont="1"/>
    <xf numFmtId="10" fontId="6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1" fontId="5" fillId="0" borderId="0" xfId="0" applyNumberFormat="1" applyFont="1"/>
    <xf numFmtId="0" fontId="6" fillId="0" borderId="0" xfId="0" applyFont="1"/>
    <xf numFmtId="0" fontId="0" fillId="0" borderId="0" xfId="0" applyAlignment="1">
      <alignment horizontal="right" wrapText="1"/>
    </xf>
    <xf numFmtId="3" fontId="13" fillId="0" borderId="0" xfId="0" applyNumberFormat="1" applyFont="1" applyAlignment="1">
      <alignment horizontal="right" vertical="top"/>
    </xf>
    <xf numFmtId="4" fontId="13" fillId="0" borderId="0" xfId="0" applyNumberFormat="1" applyFont="1" applyAlignment="1">
      <alignment horizontal="right"/>
    </xf>
    <xf numFmtId="4" fontId="13" fillId="0" borderId="0" xfId="0" applyNumberFormat="1" applyFont="1" applyAlignment="1">
      <alignment horizontal="right" vertical="top"/>
    </xf>
    <xf numFmtId="10" fontId="12" fillId="0" borderId="0" xfId="0" applyNumberFormat="1" applyFont="1"/>
    <xf numFmtId="0" fontId="14" fillId="0" borderId="0" xfId="0" applyFont="1"/>
    <xf numFmtId="0" fontId="15" fillId="0" borderId="0" xfId="0" applyFont="1" applyAlignment="1">
      <alignment horizontal="left" vertical="top" wrapText="1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4" fontId="21" fillId="3" borderId="1" xfId="0" applyNumberFormat="1" applyFont="1" applyFill="1" applyBorder="1" applyAlignment="1">
      <alignment shrinkToFit="1"/>
    </xf>
    <xf numFmtId="2" fontId="21" fillId="3" borderId="1" xfId="0" applyNumberFormat="1" applyFont="1" applyFill="1" applyBorder="1"/>
    <xf numFmtId="3" fontId="21" fillId="3" borderId="1" xfId="0" applyNumberFormat="1" applyFont="1" applyFill="1" applyBorder="1" applyAlignment="1">
      <alignment shrinkToFit="1"/>
    </xf>
    <xf numFmtId="0" fontId="1" fillId="3" borderId="8" xfId="0" applyFont="1" applyFill="1" applyBorder="1" applyAlignment="1">
      <alignment shrinkToFit="1"/>
    </xf>
    <xf numFmtId="0" fontId="1" fillId="3" borderId="9" xfId="0" applyFont="1" applyFill="1" applyBorder="1" applyAlignment="1">
      <alignment shrinkToFit="1"/>
    </xf>
    <xf numFmtId="4" fontId="21" fillId="3" borderId="10" xfId="0" applyNumberFormat="1" applyFont="1" applyFill="1" applyBorder="1" applyAlignment="1">
      <alignment shrinkToFit="1"/>
    </xf>
    <xf numFmtId="0" fontId="22" fillId="0" borderId="0" xfId="0" applyFont="1" applyAlignment="1">
      <alignment shrinkToFit="1"/>
    </xf>
    <xf numFmtId="4" fontId="0" fillId="4" borderId="6" xfId="0" applyNumberFormat="1" applyFill="1" applyBorder="1" applyAlignment="1">
      <alignment shrinkToFit="1"/>
    </xf>
    <xf numFmtId="4" fontId="0" fillId="4" borderId="4" xfId="0" applyNumberFormat="1" applyFill="1" applyBorder="1" applyAlignment="1">
      <alignment shrinkToFit="1"/>
    </xf>
    <xf numFmtId="2" fontId="0" fillId="4" borderId="4" xfId="0" applyNumberFormat="1" applyFill="1" applyBorder="1"/>
    <xf numFmtId="3" fontId="0" fillId="4" borderId="4" xfId="0" applyNumberFormat="1" applyFill="1" applyBorder="1" applyAlignment="1">
      <alignment shrinkToFit="1"/>
    </xf>
    <xf numFmtId="4" fontId="0" fillId="4" borderId="5" xfId="0" applyNumberFormat="1" applyFill="1" applyBorder="1" applyAlignment="1">
      <alignment shrinkToFit="1"/>
    </xf>
    <xf numFmtId="0" fontId="1" fillId="5" borderId="14" xfId="0" applyFont="1" applyFill="1" applyBorder="1"/>
    <xf numFmtId="0" fontId="0" fillId="5" borderId="15" xfId="0" applyFill="1" applyBorder="1"/>
    <xf numFmtId="0" fontId="1" fillId="2" borderId="16" xfId="0" applyFont="1" applyFill="1" applyBorder="1" applyAlignment="1">
      <alignment horizontal="right"/>
    </xf>
    <xf numFmtId="0" fontId="1" fillId="2" borderId="17" xfId="0" applyFont="1" applyFill="1" applyBorder="1" applyAlignment="1">
      <alignment horizontal="right"/>
    </xf>
    <xf numFmtId="0" fontId="1" fillId="2" borderId="18" xfId="0" applyFont="1" applyFill="1" applyBorder="1" applyAlignment="1">
      <alignment horizontal="right"/>
    </xf>
    <xf numFmtId="0" fontId="1" fillId="2" borderId="19" xfId="0" applyFont="1" applyFill="1" applyBorder="1"/>
    <xf numFmtId="0" fontId="1" fillId="2" borderId="6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5" borderId="1" xfId="0" applyFont="1" applyFill="1" applyBorder="1"/>
    <xf numFmtId="0" fontId="25" fillId="0" borderId="18" xfId="0" applyFont="1" applyBorder="1" applyAlignment="1">
      <alignment horizontal="right"/>
    </xf>
    <xf numFmtId="0" fontId="25" fillId="0" borderId="1" xfId="0" applyFont="1" applyBorder="1" applyAlignment="1">
      <alignment horizontal="right"/>
    </xf>
    <xf numFmtId="166" fontId="26" fillId="0" borderId="16" xfId="0" applyNumberFormat="1" applyFont="1" applyBorder="1" applyAlignment="1">
      <alignment horizontal="right"/>
    </xf>
    <xf numFmtId="166" fontId="26" fillId="0" borderId="1" xfId="0" applyNumberFormat="1" applyFont="1" applyBorder="1"/>
    <xf numFmtId="167" fontId="0" fillId="0" borderId="16" xfId="0" applyNumberFormat="1" applyBorder="1"/>
    <xf numFmtId="0" fontId="0" fillId="0" borderId="1" xfId="0" applyBorder="1"/>
    <xf numFmtId="0" fontId="0" fillId="0" borderId="22" xfId="0" applyBorder="1"/>
    <xf numFmtId="0" fontId="25" fillId="0" borderId="22" xfId="0" applyFont="1" applyBorder="1" applyAlignment="1">
      <alignment horizontal="right"/>
    </xf>
    <xf numFmtId="166" fontId="27" fillId="0" borderId="23" xfId="0" applyNumberFormat="1" applyFont="1" applyBorder="1" applyAlignment="1">
      <alignment horizontal="right"/>
    </xf>
    <xf numFmtId="167" fontId="0" fillId="0" borderId="23" xfId="0" applyNumberFormat="1" applyBorder="1"/>
    <xf numFmtId="0" fontId="0" fillId="0" borderId="24" xfId="0" applyBorder="1"/>
    <xf numFmtId="0" fontId="0" fillId="0" borderId="26" xfId="0" applyBorder="1"/>
    <xf numFmtId="0" fontId="27" fillId="0" borderId="0" xfId="0" applyFont="1"/>
    <xf numFmtId="0" fontId="25" fillId="0" borderId="27" xfId="0" applyFont="1" applyBorder="1" applyAlignment="1">
      <alignment horizontal="right"/>
    </xf>
    <xf numFmtId="0" fontId="25" fillId="0" borderId="0" xfId="0" applyFont="1" applyAlignment="1">
      <alignment horizontal="right"/>
    </xf>
    <xf numFmtId="166" fontId="0" fillId="0" borderId="0" xfId="0" applyNumberFormat="1"/>
    <xf numFmtId="0" fontId="9" fillId="0" borderId="0" xfId="0" applyFont="1"/>
    <xf numFmtId="0" fontId="20" fillId="0" borderId="0" xfId="0" applyFont="1" applyAlignment="1">
      <alignment horizontal="right"/>
    </xf>
    <xf numFmtId="0" fontId="29" fillId="0" borderId="0" xfId="0" applyFont="1" applyAlignment="1">
      <alignment horizontal="right"/>
    </xf>
    <xf numFmtId="167" fontId="0" fillId="0" borderId="19" xfId="0" applyNumberFormat="1" applyBorder="1"/>
    <xf numFmtId="0" fontId="25" fillId="0" borderId="24" xfId="0" applyFont="1" applyBorder="1"/>
    <xf numFmtId="166" fontId="1" fillId="2" borderId="1" xfId="0" applyNumberFormat="1" applyFont="1" applyFill="1" applyBorder="1" applyAlignment="1">
      <alignment horizontal="right"/>
    </xf>
    <xf numFmtId="166" fontId="0" fillId="0" borderId="1" xfId="0" applyNumberFormat="1" applyBorder="1"/>
    <xf numFmtId="166" fontId="0" fillId="0" borderId="22" xfId="0" applyNumberFormat="1" applyBorder="1"/>
    <xf numFmtId="166" fontId="26" fillId="0" borderId="16" xfId="0" applyNumberFormat="1" applyFont="1" applyBorder="1"/>
    <xf numFmtId="166" fontId="26" fillId="0" borderId="23" xfId="0" applyNumberFormat="1" applyFont="1" applyBorder="1"/>
    <xf numFmtId="0" fontId="24" fillId="0" borderId="3" xfId="0" applyFont="1" applyBorder="1"/>
    <xf numFmtId="0" fontId="0" fillId="0" borderId="7" xfId="0" applyBorder="1"/>
    <xf numFmtId="0" fontId="24" fillId="0" borderId="8" xfId="0" applyFont="1" applyBorder="1"/>
    <xf numFmtId="0" fontId="0" fillId="0" borderId="4" xfId="0" applyBorder="1"/>
    <xf numFmtId="0" fontId="24" fillId="0" borderId="8" xfId="0" applyFont="1" applyBorder="1" applyAlignment="1">
      <alignment horizontal="left" vertical="top" wrapText="1"/>
    </xf>
    <xf numFmtId="0" fontId="24" fillId="0" borderId="4" xfId="0" applyFont="1" applyBorder="1"/>
    <xf numFmtId="0" fontId="24" fillId="0" borderId="4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 wrapText="1"/>
    </xf>
    <xf numFmtId="0" fontId="0" fillId="0" borderId="5" xfId="0" applyBorder="1" applyAlignment="1">
      <alignment wrapText="1"/>
    </xf>
    <xf numFmtId="3" fontId="6" fillId="0" borderId="1" xfId="0" applyNumberFormat="1" applyFont="1" applyBorder="1"/>
    <xf numFmtId="0" fontId="0" fillId="0" borderId="36" xfId="0" applyBorder="1"/>
    <xf numFmtId="0" fontId="0" fillId="0" borderId="8" xfId="0" applyBorder="1"/>
    <xf numFmtId="164" fontId="6" fillId="0" borderId="8" xfId="0" applyNumberFormat="1" applyFont="1" applyBorder="1"/>
    <xf numFmtId="3" fontId="6" fillId="0" borderId="4" xfId="0" applyNumberFormat="1" applyFont="1" applyBorder="1"/>
    <xf numFmtId="0" fontId="8" fillId="0" borderId="9" xfId="0" applyFont="1" applyBorder="1"/>
    <xf numFmtId="0" fontId="8" fillId="0" borderId="10" xfId="0" applyFont="1" applyBorder="1"/>
    <xf numFmtId="0" fontId="8" fillId="0" borderId="5" xfId="0" applyFont="1" applyBorder="1"/>
    <xf numFmtId="0" fontId="0" fillId="0" borderId="2" xfId="0" applyBorder="1"/>
    <xf numFmtId="0" fontId="0" fillId="0" borderId="9" xfId="0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3" borderId="24" xfId="0" applyFill="1" applyBorder="1"/>
    <xf numFmtId="0" fontId="0" fillId="3" borderId="26" xfId="0" applyFill="1" applyBorder="1"/>
    <xf numFmtId="0" fontId="0" fillId="3" borderId="31" xfId="0" applyFill="1" applyBorder="1"/>
    <xf numFmtId="0" fontId="0" fillId="6" borderId="0" xfId="0" applyFill="1"/>
    <xf numFmtId="0" fontId="1" fillId="7" borderId="19" xfId="0" applyFont="1" applyFill="1" applyBorder="1"/>
    <xf numFmtId="0" fontId="0" fillId="7" borderId="20" xfId="0" applyFill="1" applyBorder="1"/>
    <xf numFmtId="0" fontId="3" fillId="7" borderId="20" xfId="0" applyFont="1" applyFill="1" applyBorder="1"/>
    <xf numFmtId="0" fontId="0" fillId="7" borderId="32" xfId="0" applyFill="1" applyBorder="1"/>
    <xf numFmtId="0" fontId="0" fillId="7" borderId="33" xfId="0" applyFill="1" applyBorder="1"/>
    <xf numFmtId="0" fontId="0" fillId="7" borderId="0" xfId="0" applyFill="1"/>
    <xf numFmtId="0" fontId="3" fillId="7" borderId="0" xfId="0" applyFont="1" applyFill="1"/>
    <xf numFmtId="0" fontId="0" fillId="7" borderId="34" xfId="0" applyFill="1" applyBorder="1"/>
    <xf numFmtId="0" fontId="0" fillId="7" borderId="14" xfId="0" applyFill="1" applyBorder="1"/>
    <xf numFmtId="0" fontId="0" fillId="7" borderId="15" xfId="0" applyFill="1" applyBorder="1"/>
    <xf numFmtId="0" fontId="3" fillId="7" borderId="15" xfId="0" applyFont="1" applyFill="1" applyBorder="1"/>
    <xf numFmtId="0" fontId="0" fillId="7" borderId="35" xfId="0" applyFill="1" applyBorder="1"/>
    <xf numFmtId="0" fontId="35" fillId="0" borderId="24" xfId="0" applyFont="1" applyBorder="1" applyAlignment="1">
      <alignment horizontal="right"/>
    </xf>
    <xf numFmtId="4" fontId="35" fillId="0" borderId="28" xfId="0" applyNumberFormat="1" applyFont="1" applyBorder="1" applyAlignment="1">
      <alignment horizontal="right"/>
    </xf>
    <xf numFmtId="4" fontId="35" fillId="0" borderId="29" xfId="0" applyNumberFormat="1" applyFont="1" applyBorder="1"/>
    <xf numFmtId="4" fontId="35" fillId="0" borderId="30" xfId="0" applyNumberFormat="1" applyFont="1" applyBorder="1"/>
    <xf numFmtId="0" fontId="35" fillId="0" borderId="0" xfId="0" applyFont="1" applyAlignment="1">
      <alignment horizontal="right"/>
    </xf>
    <xf numFmtId="4" fontId="35" fillId="0" borderId="1" xfId="0" applyNumberFormat="1" applyFont="1" applyBorder="1"/>
    <xf numFmtId="4" fontId="35" fillId="0" borderId="22" xfId="0" applyNumberFormat="1" applyFont="1" applyBorder="1"/>
    <xf numFmtId="166" fontId="21" fillId="0" borderId="1" xfId="0" applyNumberFormat="1" applyFont="1" applyBorder="1"/>
    <xf numFmtId="166" fontId="21" fillId="0" borderId="22" xfId="0" applyNumberFormat="1" applyFont="1" applyBorder="1"/>
    <xf numFmtId="166" fontId="35" fillId="0" borderId="22" xfId="0" applyNumberFormat="1" applyFont="1" applyBorder="1"/>
    <xf numFmtId="166" fontId="35" fillId="0" borderId="25" xfId="0" applyNumberFormat="1" applyFont="1" applyBorder="1"/>
    <xf numFmtId="166" fontId="35" fillId="0" borderId="31" xfId="0" applyNumberFormat="1" applyFont="1" applyBorder="1"/>
    <xf numFmtId="0" fontId="0" fillId="7" borderId="0" xfId="0" applyFill="1" applyAlignment="1">
      <alignment horizontal="center"/>
    </xf>
    <xf numFmtId="1" fontId="3" fillId="7" borderId="0" xfId="0" applyNumberFormat="1" applyFont="1" applyFill="1"/>
    <xf numFmtId="0" fontId="0" fillId="4" borderId="0" xfId="0" applyFill="1" applyAlignment="1">
      <alignment horizontal="center"/>
    </xf>
    <xf numFmtId="1" fontId="3" fillId="4" borderId="0" xfId="0" applyNumberFormat="1" applyFont="1" applyFill="1"/>
    <xf numFmtId="0" fontId="0" fillId="4" borderId="0" xfId="0" applyFill="1" applyAlignment="1">
      <alignment horizontal="center" vertical="top" wrapText="1"/>
    </xf>
    <xf numFmtId="0" fontId="36" fillId="2" borderId="0" xfId="0" applyFont="1" applyFill="1" applyAlignment="1">
      <alignment horizontal="left" vertical="top" wrapText="1"/>
    </xf>
    <xf numFmtId="1" fontId="37" fillId="7" borderId="0" xfId="0" applyNumberFormat="1" applyFont="1" applyFill="1"/>
    <xf numFmtId="1" fontId="37" fillId="4" borderId="0" xfId="0" applyNumberFormat="1" applyFont="1" applyFill="1"/>
    <xf numFmtId="1" fontId="37" fillId="2" borderId="0" xfId="0" applyNumberFormat="1" applyFont="1" applyFill="1"/>
    <xf numFmtId="4" fontId="37" fillId="7" borderId="0" xfId="0" applyNumberFormat="1" applyFont="1" applyFill="1"/>
    <xf numFmtId="4" fontId="37" fillId="4" borderId="0" xfId="0" applyNumberFormat="1" applyFont="1" applyFill="1"/>
    <xf numFmtId="4" fontId="37" fillId="2" borderId="0" xfId="0" applyNumberFormat="1" applyFont="1" applyFill="1"/>
    <xf numFmtId="164" fontId="37" fillId="7" borderId="0" xfId="0" applyNumberFormat="1" applyFont="1" applyFill="1"/>
    <xf numFmtId="3" fontId="37" fillId="7" borderId="0" xfId="0" applyNumberFormat="1" applyFont="1" applyFill="1"/>
    <xf numFmtId="164" fontId="37" fillId="4" borderId="0" xfId="0" applyNumberFormat="1" applyFont="1" applyFill="1"/>
    <xf numFmtId="3" fontId="37" fillId="4" borderId="0" xfId="0" applyNumberFormat="1" applyFont="1" applyFill="1"/>
    <xf numFmtId="10" fontId="37" fillId="2" borderId="0" xfId="0" applyNumberFormat="1" applyFont="1" applyFill="1"/>
    <xf numFmtId="3" fontId="37" fillId="2" borderId="0" xfId="0" applyNumberFormat="1" applyFont="1" applyFill="1"/>
    <xf numFmtId="0" fontId="36" fillId="2" borderId="0" xfId="0" applyFont="1" applyFill="1" applyAlignment="1">
      <alignment horizontal="right" vertical="top" wrapText="1"/>
    </xf>
    <xf numFmtId="164" fontId="37" fillId="2" borderId="0" xfId="0" applyNumberFormat="1" applyFont="1" applyFill="1"/>
    <xf numFmtId="2" fontId="37" fillId="2" borderId="0" xfId="0" applyNumberFormat="1" applyFont="1" applyFill="1"/>
    <xf numFmtId="2" fontId="37" fillId="7" borderId="0" xfId="0" applyNumberFormat="1" applyFont="1" applyFill="1"/>
    <xf numFmtId="0" fontId="0" fillId="4" borderId="0" xfId="0" applyFill="1"/>
    <xf numFmtId="2" fontId="37" fillId="4" borderId="0" xfId="0" applyNumberFormat="1" applyFont="1" applyFill="1"/>
    <xf numFmtId="0" fontId="0" fillId="7" borderId="0" xfId="0" applyFill="1" applyAlignment="1">
      <alignment horizontal="center" vertical="top" wrapText="1"/>
    </xf>
    <xf numFmtId="0" fontId="24" fillId="7" borderId="1" xfId="0" applyFont="1" applyFill="1" applyBorder="1" applyAlignment="1">
      <alignment horizontal="center"/>
    </xf>
    <xf numFmtId="4" fontId="24" fillId="7" borderId="1" xfId="0" applyNumberFormat="1" applyFont="1" applyFill="1" applyBorder="1" applyAlignment="1">
      <alignment horizontal="center"/>
    </xf>
    <xf numFmtId="1" fontId="24" fillId="7" borderId="1" xfId="0" applyNumberFormat="1" applyFont="1" applyFill="1" applyBorder="1" applyAlignment="1">
      <alignment horizontal="center"/>
    </xf>
    <xf numFmtId="10" fontId="24" fillId="7" borderId="1" xfId="0" applyNumberFormat="1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"/>
    </xf>
    <xf numFmtId="4" fontId="24" fillId="4" borderId="1" xfId="0" applyNumberFormat="1" applyFont="1" applyFill="1" applyBorder="1" applyAlignment="1">
      <alignment horizontal="center"/>
    </xf>
    <xf numFmtId="1" fontId="24" fillId="4" borderId="1" xfId="0" applyNumberFormat="1" applyFont="1" applyFill="1" applyBorder="1" applyAlignment="1">
      <alignment horizontal="center"/>
    </xf>
    <xf numFmtId="10" fontId="24" fillId="4" borderId="1" xfId="0" applyNumberFormat="1" applyFont="1" applyFill="1" applyBorder="1" applyAlignment="1">
      <alignment horizontal="center"/>
    </xf>
    <xf numFmtId="4" fontId="24" fillId="4" borderId="1" xfId="0" applyNumberFormat="1" applyFont="1" applyFill="1" applyBorder="1" applyAlignment="1">
      <alignment horizontal="right" vertical="top"/>
    </xf>
    <xf numFmtId="4" fontId="24" fillId="4" borderId="1" xfId="0" applyNumberFormat="1" applyFont="1" applyFill="1" applyBorder="1" applyAlignment="1">
      <alignment horizontal="right"/>
    </xf>
    <xf numFmtId="4" fontId="24" fillId="7" borderId="1" xfId="0" applyNumberFormat="1" applyFont="1" applyFill="1" applyBorder="1" applyAlignment="1">
      <alignment horizontal="right" vertical="top"/>
    </xf>
    <xf numFmtId="4" fontId="24" fillId="7" borderId="1" xfId="0" applyNumberFormat="1" applyFont="1" applyFill="1" applyBorder="1" applyAlignment="1">
      <alignment horizontal="right"/>
    </xf>
    <xf numFmtId="0" fontId="24" fillId="7" borderId="1" xfId="0" applyFont="1" applyFill="1" applyBorder="1" applyAlignment="1">
      <alignment horizontal="center" vertical="top" wrapText="1"/>
    </xf>
    <xf numFmtId="0" fontId="24" fillId="4" borderId="1" xfId="0" applyFont="1" applyFill="1" applyBorder="1" applyAlignment="1">
      <alignment horizontal="center" vertical="top" wrapText="1"/>
    </xf>
    <xf numFmtId="0" fontId="38" fillId="0" borderId="0" xfId="1" applyFont="1"/>
    <xf numFmtId="0" fontId="25" fillId="0" borderId="0" xfId="0" applyFont="1"/>
    <xf numFmtId="0" fontId="37" fillId="0" borderId="0" xfId="0" applyFo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1" fillId="9" borderId="3" xfId="0" applyFont="1" applyFill="1" applyBorder="1"/>
    <xf numFmtId="0" fontId="1" fillId="9" borderId="2" xfId="0" applyFont="1" applyFill="1" applyBorder="1"/>
    <xf numFmtId="0" fontId="20" fillId="9" borderId="7" xfId="0" applyFont="1" applyFill="1" applyBorder="1"/>
    <xf numFmtId="0" fontId="23" fillId="9" borderId="19" xfId="1" applyFill="1" applyBorder="1"/>
    <xf numFmtId="0" fontId="3" fillId="9" borderId="20" xfId="0" applyFont="1" applyFill="1" applyBorder="1"/>
    <xf numFmtId="0" fontId="0" fillId="9" borderId="20" xfId="0" applyFill="1" applyBorder="1"/>
    <xf numFmtId="0" fontId="0" fillId="9" borderId="32" xfId="0" applyFill="1" applyBorder="1"/>
    <xf numFmtId="0" fontId="28" fillId="9" borderId="33" xfId="0" applyFont="1" applyFill="1" applyBorder="1"/>
    <xf numFmtId="0" fontId="7" fillId="9" borderId="0" xfId="0" applyFont="1" applyFill="1"/>
    <xf numFmtId="0" fontId="28" fillId="9" borderId="0" xfId="0" applyFont="1" applyFill="1"/>
    <xf numFmtId="0" fontId="0" fillId="9" borderId="0" xfId="0" applyFill="1"/>
    <xf numFmtId="0" fontId="0" fillId="9" borderId="34" xfId="0" applyFill="1" applyBorder="1"/>
    <xf numFmtId="0" fontId="0" fillId="9" borderId="33" xfId="0" applyFill="1" applyBorder="1"/>
    <xf numFmtId="0" fontId="3" fillId="9" borderId="0" xfId="0" applyFont="1" applyFill="1"/>
    <xf numFmtId="0" fontId="0" fillId="9" borderId="14" xfId="0" applyFill="1" applyBorder="1"/>
    <xf numFmtId="0" fontId="3" fillId="9" borderId="15" xfId="0" applyFont="1" applyFill="1" applyBorder="1"/>
    <xf numFmtId="0" fontId="0" fillId="9" borderId="15" xfId="0" applyFill="1" applyBorder="1"/>
    <xf numFmtId="0" fontId="0" fillId="9" borderId="35" xfId="0" applyFill="1" applyBorder="1"/>
    <xf numFmtId="0" fontId="0" fillId="9" borderId="37" xfId="0" applyFill="1" applyBorder="1"/>
    <xf numFmtId="0" fontId="0" fillId="9" borderId="3" xfId="0" applyFill="1" applyBorder="1"/>
    <xf numFmtId="3" fontId="42" fillId="8" borderId="0" xfId="0" applyNumberFormat="1" applyFont="1" applyFill="1"/>
    <xf numFmtId="3" fontId="42" fillId="10" borderId="0" xfId="0" applyNumberFormat="1" applyFont="1" applyFill="1"/>
    <xf numFmtId="4" fontId="42" fillId="10" borderId="0" xfId="0" applyNumberFormat="1" applyFont="1" applyFill="1"/>
    <xf numFmtId="4" fontId="42" fillId="8" borderId="0" xfId="0" applyNumberFormat="1" applyFont="1" applyFill="1"/>
    <xf numFmtId="1" fontId="42" fillId="8" borderId="0" xfId="0" applyNumberFormat="1" applyFont="1" applyFill="1"/>
    <xf numFmtId="1" fontId="42" fillId="10" borderId="0" xfId="0" applyNumberFormat="1" applyFont="1" applyFill="1"/>
    <xf numFmtId="0" fontId="33" fillId="10" borderId="0" xfId="0" applyFont="1" applyFill="1" applyAlignment="1">
      <alignment horizontal="left" vertical="top" wrapText="1"/>
    </xf>
    <xf numFmtId="4" fontId="33" fillId="10" borderId="24" xfId="0" applyNumberFormat="1" applyFont="1" applyFill="1" applyBorder="1"/>
    <xf numFmtId="4" fontId="32" fillId="10" borderId="26" xfId="0" applyNumberFormat="1" applyFont="1" applyFill="1" applyBorder="1"/>
    <xf numFmtId="4" fontId="33" fillId="10" borderId="31" xfId="0" applyNumberFormat="1" applyFont="1" applyFill="1" applyBorder="1"/>
    <xf numFmtId="0" fontId="43" fillId="10" borderId="11" xfId="0" applyFont="1" applyFill="1" applyBorder="1"/>
    <xf numFmtId="0" fontId="43" fillId="10" borderId="12" xfId="0" applyFont="1" applyFill="1" applyBorder="1"/>
    <xf numFmtId="0" fontId="44" fillId="10" borderId="13" xfId="0" applyFont="1" applyFill="1" applyBorder="1"/>
    <xf numFmtId="0" fontId="30" fillId="10" borderId="0" xfId="0" applyFont="1" applyFill="1" applyAlignment="1">
      <alignment horizontal="left" vertical="top" wrapText="1"/>
    </xf>
    <xf numFmtId="1" fontId="31" fillId="10" borderId="0" xfId="0" applyNumberFormat="1" applyFont="1" applyFill="1"/>
    <xf numFmtId="0" fontId="1" fillId="10" borderId="0" xfId="0" applyFont="1" applyFill="1" applyAlignment="1">
      <alignment horizontal="left" vertical="top" wrapText="1"/>
    </xf>
    <xf numFmtId="0" fontId="45" fillId="10" borderId="0" xfId="0" applyFont="1" applyFill="1"/>
    <xf numFmtId="0" fontId="0" fillId="10" borderId="0" xfId="0" applyFill="1"/>
    <xf numFmtId="0" fontId="1" fillId="10" borderId="0" xfId="0" applyFont="1" applyFill="1" applyAlignment="1">
      <alignment horizontal="right" vertical="top" wrapText="1"/>
    </xf>
    <xf numFmtId="0" fontId="1" fillId="10" borderId="0" xfId="0" applyFont="1" applyFill="1"/>
    <xf numFmtId="0" fontId="1" fillId="10" borderId="1" xfId="0" applyFont="1" applyFill="1" applyBorder="1" applyAlignment="1">
      <alignment horizontal="left" vertical="top" wrapText="1"/>
    </xf>
    <xf numFmtId="0" fontId="8" fillId="9" borderId="0" xfId="0" applyFont="1" applyFill="1"/>
    <xf numFmtId="0" fontId="46" fillId="9" borderId="19" xfId="1" applyFont="1" applyFill="1" applyBorder="1"/>
    <xf numFmtId="0" fontId="1" fillId="2" borderId="20" xfId="0" applyFont="1" applyFill="1" applyBorder="1"/>
    <xf numFmtId="0" fontId="0" fillId="2" borderId="2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1" fontId="46" fillId="9" borderId="0" xfId="1" applyNumberFormat="1" applyFont="1" applyFill="1"/>
    <xf numFmtId="1" fontId="5" fillId="9" borderId="0" xfId="0" applyNumberFormat="1" applyFont="1" applyFill="1"/>
  </cellXfs>
  <cellStyles count="2">
    <cellStyle name="Hyperlink" xfId="1" builtinId="8"/>
    <cellStyle name="Normal" xfId="0" builtinId="0"/>
  </cellStyles>
  <dxfs count="100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2" tint="-9.9978637043366805E-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2" tint="-9.9978637043366805E-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2" tint="-9.9978637043366805E-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i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solid">
          <fgColor indexed="64"/>
          <bgColor theme="2" tint="-9.9978637043366805E-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%"/>
      <fill>
        <patternFill patternType="solid">
          <fgColor indexed="64"/>
          <bgColor theme="2" tint="-9.9978637043366805E-2"/>
        </patternFill>
      </fill>
    </dxf>
    <dxf>
      <font>
        <b/>
      </font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1" tint="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numFmt numFmtId="1" formatCode="0"/>
      <fill>
        <patternFill patternType="solid">
          <fgColor indexed="64"/>
          <bgColor theme="1" tint="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 tint="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 tint="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 tint="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theme="1" tint="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34998626667073579"/>
        </patternFill>
      </fill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>
          <fgColor indexed="64"/>
          <bgColor theme="2" tint="-9.9978637043366805E-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>
          <fgColor indexed="64"/>
          <bgColor theme="2" tint="-9.9978637043366805E-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>
          <fgColor indexed="64"/>
          <bgColor theme="2" tint="-9.9978637043366805E-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>
          <fgColor indexed="64"/>
          <bgColor theme="2" tint="-9.9978637043366805E-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%"/>
      <fill>
        <patternFill>
          <fgColor indexed="64"/>
          <bgColor theme="2" tint="-9.9978637043366805E-2"/>
        </patternFill>
      </fill>
    </dxf>
    <dxf>
      <fill>
        <patternFill patternType="solid">
          <fgColor indexed="64"/>
          <bgColor theme="1" tint="0.34998626667073579"/>
        </patternFill>
      </fill>
    </dxf>
    <dxf>
      <fill>
        <patternFill>
          <fgColor indexed="64"/>
          <bgColor theme="2" tint="-9.9978637043366805E-2"/>
        </patternFill>
      </fill>
    </dxf>
    <dxf>
      <fill>
        <patternFill patternType="solid">
          <fgColor indexed="64"/>
          <bgColor theme="1" tint="0.34998626667073579"/>
        </patternFill>
      </fill>
    </dxf>
    <dxf>
      <fill>
        <patternFill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>
          <fgColor indexed="64"/>
          <bgColor theme="2" tint="-9.9978637043366805E-2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i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4.9989318521683403E-2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4.9989318521683403E-2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0098"/>
      <color rgb="FF660066"/>
      <color rgb="FFFF00B7"/>
      <color rgb="FFFF8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0</xdr:rowOff>
    </xdr:from>
    <xdr:to>
      <xdr:col>2</xdr:col>
      <xdr:colOff>622300</xdr:colOff>
      <xdr:row>3</xdr:row>
      <xdr:rowOff>161608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ED3400A-CA04-39F0-21D2-18CA9BE05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0"/>
          <a:ext cx="1638300" cy="860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469900</xdr:colOff>
      <xdr:row>3</xdr:row>
      <xdr:rowOff>174308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E9F679-798A-AB48-A6EB-FF7B50A5B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00" y="190500"/>
          <a:ext cx="1638300" cy="8601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1</xdr:row>
      <xdr:rowOff>63500</xdr:rowOff>
    </xdr:from>
    <xdr:to>
      <xdr:col>2</xdr:col>
      <xdr:colOff>317500</xdr:colOff>
      <xdr:row>5</xdr:row>
      <xdr:rowOff>161608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25D290-E7F0-8E41-9E74-FC173BBF6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04800"/>
          <a:ext cx="1638300" cy="8601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99EA96-9BF1-4ABD-A598-2B06611B48B2}" name="AWRData" displayName="AWRData" ref="B7:W25" headerRowDxfId="99">
  <autoFilter ref="B7:W25" xr:uid="{BAFCDA4E-1455-4186-B446-55AD7B6FF08E}"/>
  <tableColumns count="22">
    <tableColumn id="1" xr3:uid="{12DBE624-1E4C-43DE-8EBA-89FC03FB8A2E}" name="DB Name" totalsRowLabel="Total" dataDxfId="98" totalsRowDxfId="97"/>
    <tableColumn id="2" xr3:uid="{12EF2CB8-2718-4987-B485-71AAC2C42177}" name="Instance Name" dataDxfId="96" totalsRowDxfId="95"/>
    <tableColumn id="3" xr3:uid="{EE4D87CE-B854-4D79-98B0-4B433DE0DFC5}" name="Host Name" dataDxfId="94" totalsRowDxfId="93"/>
    <tableColumn id="18" xr3:uid="{9652353C-76B4-424D-B14E-4474B1D2E864}" name="Elapsed Time (mins)" totalsRowFunction="custom" dataDxfId="92" totalsRowDxfId="91">
      <totalsRowFormula>SUM(E8:E25)</totalsRowFormula>
    </tableColumn>
    <tableColumn id="4" xr3:uid="{E245B233-16D0-4175-B2B6-7CC6C7D5EC1E}" name="DB Time (mins)" totalsRowFunction="sum" dataDxfId="90" totalsRowDxfId="89"/>
    <tableColumn id="5" xr3:uid="{18DE2E70-642F-48C7-8588-E203573FBC6C}" name="DB CPU (s)" totalsRowFunction="sum" dataDxfId="88" totalsRowDxfId="87"/>
    <tableColumn id="17" xr3:uid="{CB45C1E7-36C0-4529-BD9C-742C452F7BAB}" name="CPUs" totalsRowFunction="custom" dataDxfId="86" totalsRowDxfId="85">
      <totalsRowFormula>SUM(H8:H25)</totalsRowFormula>
    </tableColumn>
    <tableColumn id="16" xr3:uid="{8DEF82EF-8D6D-43C8-9A6E-479EF081F1C5}" name="Cores" totalsRowFunction="custom" dataDxfId="84" totalsRowDxfId="83">
      <totalsRowFormula>SUM(I8:I25)</totalsRowFormula>
    </tableColumn>
    <tableColumn id="19" xr3:uid="{6CC3E0A3-0D85-416B-B5E5-E013322B324E}" name="Memory (GB)" totalsRowFunction="custom" dataDxfId="82" totalsRowDxfId="81">
      <totalsRowFormula>SUM(J8:J25)</totalsRowFormula>
    </tableColumn>
    <tableColumn id="20" xr3:uid="{801E69F7-F685-4E5B-89E7-B8236A24C142}" name="%busy CPU" totalsRowFunction="custom" dataDxfId="80" totalsRowDxfId="79">
      <totalsRowFormula>SUM(K8:K25)</totalsRowFormula>
    </tableColumn>
    <tableColumn id="8" xr3:uid="{D9D9DE5D-BFAF-4BB6-9C57-68AD5D802EE2}" name="SGA use (MB)" totalsRowFunction="sum" dataDxfId="78" totalsRowDxfId="77"/>
    <tableColumn id="9" xr3:uid="{12911006-64ED-4042-B1A5-C18EC5E137FE}" name="PGA use (MB)" totalsRowFunction="sum" dataDxfId="76" totalsRowDxfId="75"/>
    <tableColumn id="6" xr3:uid="{D6E85EB5-7EE1-48F6-A66E-B76E4EECD483}" name="Read Throughput (MB/s)" dataDxfId="74" totalsRowDxfId="73"/>
    <tableColumn id="7" xr3:uid="{F3F3AB13-35F9-4DE8-BCED-CC8576E3F23E}" name="Write Throughput (MB/s)" dataDxfId="72" totalsRowDxfId="71"/>
    <tableColumn id="10" xr3:uid="{BE4DE103-F7E4-4B9E-A27F-11EFFA4A99BF}" name="Read IOPS" totalsRowFunction="sum" dataDxfId="70" totalsRowDxfId="69"/>
    <tableColumn id="11" xr3:uid="{A52E7F8E-4721-4010-BECE-F070E24DDA1F}" name="Write IOPS" totalsRowFunction="sum" dataDxfId="68" totalsRowDxfId="67"/>
    <tableColumn id="15" xr3:uid="{F0C74357-6F45-494C-B3DC-D3215156DFFB}" name="Total Throughput (MB/s)" dataDxfId="66" totalsRowDxfId="65">
      <calculatedColumnFormula>N8+O8</calculatedColumnFormula>
    </tableColumn>
    <tableColumn id="12" xr3:uid="{A0F8EBD1-73A3-4ABE-B0BE-D33E8C7ADD32}" name="Total IOPS" totalsRowFunction="sum" dataDxfId="64" totalsRowDxfId="63">
      <calculatedColumnFormula>(P8+Q8)</calculatedColumnFormula>
    </tableColumn>
    <tableColumn id="22" xr3:uid="{12A4389A-523C-421D-BD24-6272B453F2CD}" name="Average Active Sessions" dataDxfId="62" totalsRowDxfId="61">
      <calculatedColumnFormula>F8/E8</calculatedColumnFormula>
    </tableColumn>
    <tableColumn id="13" xr3:uid="{3F2ED276-F76A-423E-8069-892C6C886ED0}" name="CPU total capacity (s)" totalsRowFunction="custom" dataDxfId="60">
      <calculatedColumnFormula>(E8*60)*H8</calculatedColumnFormula>
      <totalsRowFormula>SUM(U8:U25)</totalsRowFormula>
    </tableColumn>
    <tableColumn id="14" xr3:uid="{6D50E1DB-D2A8-4634-9623-2B8FF9FB8B97}" name="ORA use (GB)" totalsRowFunction="custom" dataDxfId="59">
      <calculatedColumnFormula>(L8+M8)/1024</calculatedColumnFormula>
      <totalsRowFormula>SUBTOTAL(109,#REF!)</totalsRowFormula>
    </tableColumn>
    <tableColumn id="21" xr3:uid="{06271738-5AFB-4416-88EC-0F36A42588B4}" name="source CPU HT factor" dataDxfId="58">
      <calculatedColumnFormula>H8/I8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22BF7B-4FDB-4416-A371-AA5DC723FDB7}" name="HostSummary" displayName="HostSummary" ref="B23:H35" totalsRowCount="1" headerRowDxfId="57" dataDxfId="56">
  <autoFilter ref="B23:H34" xr:uid="{2131DD88-95A4-4546-AD92-E31ADE17AE10}"/>
  <tableColumns count="7">
    <tableColumn id="1" xr3:uid="{E48AF7E1-022E-4559-9DF8-AA91B706DE37}" name="Host" totalsRowLabel="Total" dataDxfId="55" totalsRowDxfId="54"/>
    <tableColumn id="6" xr3:uid="{E7152265-984C-41C1-985E-AC0ACC8400BD}" name="Name" dataDxfId="53" totalsRowDxfId="52"/>
    <tableColumn id="3" xr3:uid="{042A02F8-3035-4F96-B880-FF705D8AF8AD}" name="%DB Time of Elapsed Time (aka Avg Active Sessions or &quot;AAS&quot;)" totalsRowFunction="sum" dataDxfId="51" totalsRowDxfId="50">
      <calculatedColumnFormula>IF(HostSummary[[#This Row],[Host]]="","",SUMIFS(AWRData[Average Active Sessions],AWRData[Host Name],HostSummary[[#This Row],[Host]]))</calculatedColumnFormula>
    </tableColumn>
    <tableColumn id="10" xr3:uid="{85E8367C-F408-44E2-8D1A-47BCF5A88ABE}" name="Observed memory use (GB)" totalsRowFunction="sum" dataDxfId="49" totalsRowDxfId="48">
      <calculatedColumnFormula>IF(HostSummary[[#This Row],[Host]]="","",SUMIFS(AWRData[ORA use (GB)],AWRData[Host Name],HostSummary[[#This Row],[Host]]))</calculatedColumnFormula>
    </tableColumn>
    <tableColumn id="2" xr3:uid="{2617E88C-0FF4-4484-A29F-7A570C9BB22A}" name="Observed IOPS" totalsRowFunction="sum" dataDxfId="47" totalsRowDxfId="46">
      <calculatedColumnFormula>IF(HostSummary[[#This Row],[Host]]="","",SUMIFS(AWRData[Total IOPS],AWRData[Host Name],HostSummary[[#This Row],[Host]]))</calculatedColumnFormula>
    </tableColumn>
    <tableColumn id="4" xr3:uid="{D2224B36-6E90-4845-81DA-1DB10E1661B4}" name="Observed Throughput (MB/s)" totalsRowFunction="sum" dataDxfId="45" totalsRowDxfId="44">
      <calculatedColumnFormula>IF(HostSummary[[#This Row],[Host]]="","",SUMIFS(AWRData[Total Throughput (MB/s)],AWRData[Host Name],HostSummary[[#This Row],[Host]]))</calculatedColumnFormula>
    </tableColumn>
    <tableColumn id="7" xr3:uid="{5F50BA59-DA9E-4081-A285-AF05AEA4D31D}" name="Est'd Azure vCPUs" totalsRowFunction="sum" dataDxfId="43" totalsRowDxfId="42">
      <calculatedColumnFormula>IF(HostSummary[[#This Row],[Host]]="","",ROUND(HostSummary[[#This Row],[%DB Time of Elapsed Time (aka Avg Active Sessions or "AAS")]]+0.5,0)*(vCPUHTFactor/AVERAGEIFS(AWRData[source CPU HT factor],AWRData[Host Name],HostSummary[[#This Row],[Host]])))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A110F-4E35-4288-9661-A9C3BFF6A5DE}" name="DBSummary" displayName="DBSummary" ref="B38:M49" totalsRowCount="1" headerRowDxfId="41" dataDxfId="40">
  <autoFilter ref="B38:M48" xr:uid="{49AD5955-00E8-4584-8ED2-B99212AE569A}"/>
  <tableColumns count="12">
    <tableColumn id="1" xr3:uid="{F79507E8-49B9-479A-B974-70532B5FC009}" name="DB Name" totalsRowLabel="Total" dataDxfId="39" totalsRowDxfId="38"/>
    <tableColumn id="3" xr3:uid="{D14FF7E7-B38D-4451-8EE3-64724E717E5F}" name="%DB Time of Elapsed Time (aka Avg Active Sessions or &quot;AAS&quot;)" totalsRowFunction="sum" dataDxfId="37" totalsRowDxfId="36">
      <calculatedColumnFormula>IF(DBSummary[[#This Row],[DB Name]]="","",SUMIFS(AWRData[DB Time (mins)],AWRData[DB Name],DBSummary[[#This Row],[DB Name]])/SUMIFS(AWRData[Elapsed Time (mins)],AWRData[DB Name],DBSummary[[#This Row],[DB Name]]))</calculatedColumnFormula>
    </tableColumn>
    <tableColumn id="16" xr3:uid="{97990710-F178-485D-9D23-E739F22255D6}" name="Observed memory (GiB) consumed only by Oracle" totalsRowFunction="sum" dataDxfId="35" totalsRowDxfId="34">
      <calculatedColumnFormula>IF(DBSummary[[#This Row],[DB Name]]="","",SUMIFS(AWRData[ORA use (GB)],AWRData[DB Name],DBSummary[[#This Row],[DB Name]]))</calculatedColumnFormula>
    </tableColumn>
    <tableColumn id="12" xr3:uid="{FC52058A-56D5-46D8-B939-711474E1E53B}" name="Est'd Azure vRAM for server" totalsRowFunction="sum" dataDxfId="33" totalsRowDxfId="32">
      <calculatedColumnFormula>IF(DBSummary[[#This Row],[DB Name]]="","",PeakRAMfactor*DBSummary[[#This Row],[Observed memory (GiB) consumed only by Oracle]])</calculatedColumnFormula>
    </tableColumn>
    <tableColumn id="11" xr3:uid="{AB2CFCBB-C7A4-4993-BFD0-A84164ED0160}" name="Observed IOPS" totalsRowFunction="sum" dataDxfId="31" totalsRowDxfId="30">
      <calculatedColumnFormula>IF(DBSummary[[#This Row],[DB Name]]="","",SUMIFS(AWRData[Total IOPS],AWRData[DB Name],DBSummary[[#This Row],[DB Name]]))</calculatedColumnFormula>
    </tableColumn>
    <tableColumn id="5" xr3:uid="{28273868-E127-405F-B656-70C478E70B07}" name="Observed I/O throughput (MB/s)" totalsRowFunction="sum" dataDxfId="29" totalsRowDxfId="28">
      <calculatedColumnFormula>IF(DBSummary[[#This Row],[DB Name]]="","",SUMIFS(AWRData[Total Throughput (MB/s)],AWRData[DB Name],DBSummary[[#This Row],[DB Name]]))</calculatedColumnFormula>
    </tableColumn>
    <tableColumn id="10" xr3:uid="{80BD2CB6-EA97-4295-9D59-E9A2E6BF0BE9}" name="Est'd Azure IOPS for peak load" totalsRowFunction="sum" dataDxfId="27" totalsRowDxfId="26">
      <calculatedColumnFormula>IF(DBSummary[[#This Row],[DB Name]]="","",DBSummary[[#This Row],[Observed IOPS]]*IoMetricsFactor)</calculatedColumnFormula>
    </tableColumn>
    <tableColumn id="8" xr3:uid="{C38DB1AD-B018-489B-B3E6-31BE998C2B17}" name="Est'd Azure Throughput (MB/s) for peak load" totalsRowFunction="sum" dataDxfId="25" totalsRowDxfId="24">
      <calculatedColumnFormula>IF(DBSummary[[#This Row],[DB Name]]="","",DBSummary[[#This Row],[Observed I/O throughput (MB/s)]]*IoMetricsFactor)</calculatedColumnFormula>
    </tableColumn>
    <tableColumn id="6" xr3:uid="{AAFEF038-B223-49E2-B515-EC61D231972F}" name="Est'd Azure vCPUs for avg load" totalsRowFunction="sum" dataDxfId="23" totalsRowDxfId="22">
      <calculatedColumnFormula>IF(DBSummary[[#This Row],[DB Name]]="","",ROUND(SUMIFS(InstSummary[Est''d Azure vCPUs],InstSummary[DB Name],DBSummary[[#This Row],[DB Name]])+0.5,0))</calculatedColumnFormula>
    </tableColumn>
    <tableColumn id="13" xr3:uid="{C2AC7AFC-A986-44E6-BF2C-D020472151CF}" name="Est'd Azure vCPUs for peak load" totalsRowFunction="sum" dataDxfId="21" totalsRowDxfId="20">
      <calculatedColumnFormula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calculatedColumnFormula>
    </tableColumn>
    <tableColumn id="2" xr3:uid="{97176F21-5A5E-4D86-A5E8-1D18EFB35588}" name="DBSize in GB" totalsRowFunction="custom" dataDxfId="19" totalsRowDxfId="18">
      <totalsRowFormula>SUM(L39, L40, L41, L42, L43, L44, L45, L46, L47, L48)</totalsRowFormula>
    </tableColumn>
    <tableColumn id="4" xr3:uid="{C80DD8E4-8AA0-41DA-8D7C-6DAE72C1D3B8}" name="Backup Size" totalsRowFunction="custom" dataDxfId="17" totalsRowDxfId="16">
      <totalsRowFormula>SUM(M39, M40, M41, M42, M43, M44, M45, M46, M47, M48)</totalsRow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88EA0-C4A2-40CE-A0C2-1348922960F7}" name="InstSummary" displayName="InstSummary" ref="B6:H20" totalsRowCount="1" headerRowDxfId="15" dataDxfId="14">
  <autoFilter ref="B6:H19" xr:uid="{DDC9EB0F-FC45-450E-9D91-FB84A3B2BFF9}"/>
  <tableColumns count="7">
    <tableColumn id="19" xr3:uid="{9D996974-BBE3-4BD2-A49E-7636AF84D9BD}" name="DB Name" dataDxfId="13" totalsRowDxfId="12"/>
    <tableColumn id="2" xr3:uid="{1EB02893-C83E-48B5-937F-61E7D4A0C092}" name="Instance Name" dataDxfId="11" totalsRowDxfId="10"/>
    <tableColumn id="5" xr3:uid="{FFDD672E-0E4E-4ADB-9E76-1EB11CF3E627}" name="%DB Time of Elapsed Time (aka Avg Active Sessions or &quot;AAS&quot;)" totalsRowFunction="sum" dataDxfId="9" totalsRowDxfId="8">
      <calculatedColumnFormula>IF(InstSummary[[#This Row],[Instance Name]]="","",SUMIFS(AWRData[DB Time (mins)],AWRData[Instance Name],InstSummary[[#This Row],[Instance Name]])/SUMIFS(AWRData[Elapsed Time (mins)],AWRData[Instance Name],InstSummary[[#This Row],[Instance Name]]))</calculatedColumnFormula>
    </tableColumn>
    <tableColumn id="14" xr3:uid="{EE92F036-09CB-4182-9F1C-C53D87FDFEA7}" name="Observed memory use (GB)" totalsRowFunction="sum" dataDxfId="7" totalsRowDxfId="6">
      <calculatedColumnFormula>IF(InstSummary[[#This Row],[Instance Name]]="","",SUMIFS(AWRData[ORA use (GB)],AWRData[Instance Name],InstSummary[[#This Row],[Instance Name]]))</calculatedColumnFormula>
    </tableColumn>
    <tableColumn id="12" xr3:uid="{E37AA9A5-8343-4F5A-BC1B-7C2420A8489D}" name="Observed IOPS" totalsRowFunction="sum" dataDxfId="5" totalsRowDxfId="4">
      <calculatedColumnFormula>IF(InstSummary[[#This Row],[Instance Name]]="","",SUMIFS(AWRData[Total IOPS],AWRData[Instance Name],InstSummary[[#This Row],[Instance Name]]))</calculatedColumnFormula>
    </tableColumn>
    <tableColumn id="3" xr3:uid="{0224C75E-ED5E-4C3C-9DED-03BD06F08298}" name="Observed Throughput (MB/s)" totalsRowFunction="sum" dataDxfId="3" totalsRowDxfId="2">
      <calculatedColumnFormula>IF(InstSummary[[#This Row],[Instance Name]]="","",SUMIFS(AWRData[Total Throughput (MB/s)],AWRData[Instance Name],InstSummary[[#This Row],[Instance Name]]))</calculatedColumnFormula>
    </tableColumn>
    <tableColumn id="13" xr3:uid="{8924F8A8-A9A4-4E8F-A3E7-F991630D6750}" name="Est'd Azure vCPUs" totalsRowFunction="sum" dataDxfId="1" totalsRowDxfId="0">
      <calculatedColumnFormula>IF(InstSummary[[#This Row],[Instance Name]]="","",InstSummary[[#This Row],[%DB Time of Elapsed Time (aka Avg Active Sessions or "AAS")]]*(vCPUHTFactor/SUMIFS(AWRData[source CPU HT factor],AWRData[Instance Name],InstSummary[[#This Row],[Instance Name]])))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="InstanceCalculation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zure/Oracle-Workloads-for-Azure/blob/main/az-oracle-sizing/AWR%20Sizing%20Instructions.pdf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3.xml"/><Relationship Id="rId2" Type="http://schemas.openxmlformats.org/officeDocument/2006/relationships/hyperlink" Target="https://github.com/Azure/Oracle-Workloads-for-Azure/blob/main/az-oracle-sizing/dbspace.sql" TargetMode="External"/><Relationship Id="rId1" Type="http://schemas.openxmlformats.org/officeDocument/2006/relationships/hyperlink" Target="https://docs.microsoft.com/en-us/azure/virtual-machines/constrained-vcpu" TargetMode="External"/><Relationship Id="rId6" Type="http://schemas.openxmlformats.org/officeDocument/2006/relationships/table" Target="../tables/table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A2F3-E8D6-461E-A2BF-3D4E8A581296}">
  <dimension ref="B1:W40"/>
  <sheetViews>
    <sheetView showGridLines="0" tabSelected="1" topLeftCell="A11" zoomScaleNormal="100" workbookViewId="0">
      <selection activeCell="K4" sqref="K4"/>
    </sheetView>
  </sheetViews>
  <sheetFormatPr baseColWidth="10" defaultColWidth="8.83203125" defaultRowHeight="15" x14ac:dyDescent="0.2"/>
  <cols>
    <col min="1" max="1" width="4.1640625" customWidth="1"/>
    <col min="2" max="2" width="10.6640625" customWidth="1"/>
    <col min="3" max="3" width="15.33203125" customWidth="1"/>
    <col min="4" max="4" width="32.33203125" customWidth="1"/>
    <col min="5" max="5" width="14.6640625" customWidth="1"/>
    <col min="6" max="6" width="12.6640625" style="3" customWidth="1"/>
    <col min="7" max="7" width="14.33203125" customWidth="1"/>
    <col min="8" max="8" width="12.6640625" style="3" customWidth="1"/>
    <col min="9" max="17" width="12.6640625" customWidth="1"/>
    <col min="18" max="18" width="12.6640625" style="31" hidden="1" customWidth="1"/>
    <col min="19" max="20" width="12.6640625" hidden="1" customWidth="1"/>
    <col min="21" max="21" width="13.83203125" hidden="1" customWidth="1"/>
    <col min="22" max="22" width="10.33203125" hidden="1" customWidth="1"/>
    <col min="23" max="23" width="11.1640625" hidden="1" customWidth="1"/>
    <col min="24" max="24" width="12.6640625" customWidth="1"/>
  </cols>
  <sheetData>
    <row r="1" spans="2:23" s="9" customFormat="1" ht="19" x14ac:dyDescent="0.25">
      <c r="D1" s="9" t="s">
        <v>23</v>
      </c>
      <c r="H1" s="10"/>
      <c r="J1" s="10"/>
      <c r="T1" s="29"/>
    </row>
    <row r="2" spans="2:23" x14ac:dyDescent="0.2">
      <c r="D2" s="172" t="s">
        <v>81</v>
      </c>
      <c r="E2" s="173"/>
      <c r="F2" s="173"/>
      <c r="G2" s="173"/>
      <c r="H2" s="174"/>
      <c r="J2" s="3"/>
      <c r="R2"/>
      <c r="T2" s="31"/>
    </row>
    <row r="3" spans="2:23" ht="21" x14ac:dyDescent="0.25">
      <c r="D3" s="175" t="s">
        <v>44</v>
      </c>
      <c r="E3" s="173"/>
      <c r="F3" s="173"/>
      <c r="G3" s="173"/>
      <c r="H3" s="174"/>
      <c r="J3" s="3"/>
      <c r="R3"/>
      <c r="T3" s="31"/>
    </row>
    <row r="4" spans="2:23" s="33" customFormat="1" ht="16" x14ac:dyDescent="0.2">
      <c r="D4" s="176" t="s">
        <v>45</v>
      </c>
      <c r="E4" s="177"/>
      <c r="F4" s="177"/>
      <c r="G4" s="177"/>
      <c r="H4" s="177"/>
      <c r="J4" s="34"/>
    </row>
    <row r="5" spans="2:23" x14ac:dyDescent="0.2">
      <c r="F5"/>
      <c r="J5" s="3"/>
      <c r="R5"/>
      <c r="T5" s="31"/>
    </row>
    <row r="6" spans="2:23" s="9" customFormat="1" ht="19" x14ac:dyDescent="0.25">
      <c r="B6" s="9" t="s">
        <v>15</v>
      </c>
      <c r="F6" s="10"/>
      <c r="H6" s="10"/>
      <c r="R6" s="29"/>
    </row>
    <row r="7" spans="2:23" s="2" customFormat="1" ht="48" x14ac:dyDescent="0.2">
      <c r="B7" s="218" t="s">
        <v>0</v>
      </c>
      <c r="C7" s="218" t="s">
        <v>1</v>
      </c>
      <c r="D7" s="218" t="s">
        <v>2</v>
      </c>
      <c r="E7" s="218" t="s">
        <v>10</v>
      </c>
      <c r="F7" s="218" t="s">
        <v>11</v>
      </c>
      <c r="G7" s="218" t="s">
        <v>19</v>
      </c>
      <c r="H7" s="218" t="s">
        <v>13</v>
      </c>
      <c r="I7" s="218" t="s">
        <v>14</v>
      </c>
      <c r="J7" s="218" t="s">
        <v>12</v>
      </c>
      <c r="K7" s="218" t="s">
        <v>16</v>
      </c>
      <c r="L7" s="218" t="s">
        <v>17</v>
      </c>
      <c r="M7" s="218" t="s">
        <v>18</v>
      </c>
      <c r="N7" s="218" t="s">
        <v>28</v>
      </c>
      <c r="O7" s="218" t="s">
        <v>29</v>
      </c>
      <c r="P7" s="218" t="s">
        <v>3</v>
      </c>
      <c r="Q7" s="218" t="s">
        <v>4</v>
      </c>
      <c r="R7" s="30" t="s">
        <v>30</v>
      </c>
      <c r="S7" s="4" t="s">
        <v>5</v>
      </c>
      <c r="T7" s="4" t="s">
        <v>46</v>
      </c>
      <c r="U7" s="4" t="s">
        <v>20</v>
      </c>
      <c r="V7" s="4" t="s">
        <v>21</v>
      </c>
      <c r="W7" s="4" t="s">
        <v>22</v>
      </c>
    </row>
    <row r="8" spans="2:23" s="24" customFormat="1" ht="16" x14ac:dyDescent="0.2">
      <c r="B8" s="158"/>
      <c r="C8" s="158"/>
      <c r="D8" s="158"/>
      <c r="E8" s="159"/>
      <c r="F8" s="159"/>
      <c r="G8" s="160"/>
      <c r="H8" s="160"/>
      <c r="I8" s="160"/>
      <c r="J8" s="159"/>
      <c r="K8" s="161"/>
      <c r="L8" s="160"/>
      <c r="M8" s="160"/>
      <c r="N8" s="159"/>
      <c r="O8" s="159"/>
      <c r="P8" s="159"/>
      <c r="Q8" s="159"/>
      <c r="R8" s="26">
        <f t="shared" ref="R8:R25" si="0">N8+O8</f>
        <v>0</v>
      </c>
      <c r="S8" s="26">
        <f t="shared" ref="S8:S25" si="1">(P8+Q8)</f>
        <v>0</v>
      </c>
      <c r="T8" s="26" t="e">
        <f t="shared" ref="T8:T25" si="2">F8/E8</f>
        <v>#DIV/0!</v>
      </c>
      <c r="U8" s="25">
        <f t="shared" ref="U8:U25" si="3">(E8*60)*H8</f>
        <v>0</v>
      </c>
      <c r="V8" s="25">
        <f t="shared" ref="V8:V25" si="4">(L8+M8)/1024</f>
        <v>0</v>
      </c>
      <c r="W8" s="27" t="e">
        <f t="shared" ref="W8:W25" si="5">H8/I8</f>
        <v>#DIV/0!</v>
      </c>
    </row>
    <row r="9" spans="2:23" s="24" customFormat="1" ht="16" x14ac:dyDescent="0.2">
      <c r="B9" s="162"/>
      <c r="C9" s="162"/>
      <c r="D9" s="162"/>
      <c r="E9" s="163"/>
      <c r="F9" s="163"/>
      <c r="G9" s="164"/>
      <c r="H9" s="164"/>
      <c r="I9" s="164"/>
      <c r="J9" s="163"/>
      <c r="K9" s="165"/>
      <c r="L9" s="164"/>
      <c r="M9" s="164"/>
      <c r="N9" s="166"/>
      <c r="O9" s="166"/>
      <c r="P9" s="163"/>
      <c r="Q9" s="167"/>
      <c r="R9" s="26">
        <f t="shared" ref="R9:R13" si="6">N9+O9</f>
        <v>0</v>
      </c>
      <c r="S9" s="26">
        <f t="shared" ref="S9:S13" si="7">(P9+Q9)</f>
        <v>0</v>
      </c>
      <c r="T9" s="26" t="e">
        <f t="shared" ref="T9:T13" si="8">F9/E9</f>
        <v>#DIV/0!</v>
      </c>
      <c r="U9" s="25">
        <f t="shared" ref="U9:U13" si="9">(E9*60)*H9</f>
        <v>0</v>
      </c>
      <c r="V9" s="25">
        <f t="shared" ref="V9:V13" si="10">(L9+M9)/1024</f>
        <v>0</v>
      </c>
      <c r="W9" s="27" t="e">
        <f t="shared" ref="W9:W13" si="11">H9/I9</f>
        <v>#DIV/0!</v>
      </c>
    </row>
    <row r="10" spans="2:23" s="24" customFormat="1" ht="16" x14ac:dyDescent="0.2">
      <c r="B10" s="158"/>
      <c r="C10" s="158"/>
      <c r="D10" s="158"/>
      <c r="E10" s="159"/>
      <c r="F10" s="159"/>
      <c r="G10" s="160"/>
      <c r="H10" s="160"/>
      <c r="I10" s="160"/>
      <c r="J10" s="159"/>
      <c r="K10" s="161"/>
      <c r="L10" s="160"/>
      <c r="M10" s="160"/>
      <c r="N10" s="168"/>
      <c r="O10" s="168"/>
      <c r="P10" s="159"/>
      <c r="Q10" s="169"/>
      <c r="R10" s="26">
        <f t="shared" si="6"/>
        <v>0</v>
      </c>
      <c r="S10" s="26">
        <f t="shared" si="7"/>
        <v>0</v>
      </c>
      <c r="T10" s="26" t="e">
        <f t="shared" si="8"/>
        <v>#DIV/0!</v>
      </c>
      <c r="U10" s="25">
        <f t="shared" si="9"/>
        <v>0</v>
      </c>
      <c r="V10" s="25">
        <f t="shared" si="10"/>
        <v>0</v>
      </c>
      <c r="W10" s="27" t="e">
        <f t="shared" si="11"/>
        <v>#DIV/0!</v>
      </c>
    </row>
    <row r="11" spans="2:23" s="24" customFormat="1" ht="16" x14ac:dyDescent="0.2">
      <c r="B11" s="162"/>
      <c r="C11" s="162"/>
      <c r="D11" s="162"/>
      <c r="E11" s="163"/>
      <c r="F11" s="163"/>
      <c r="G11" s="164"/>
      <c r="H11" s="164"/>
      <c r="I11" s="164"/>
      <c r="J11" s="163"/>
      <c r="K11" s="165"/>
      <c r="L11" s="164"/>
      <c r="M11" s="164"/>
      <c r="N11" s="166"/>
      <c r="O11" s="166"/>
      <c r="P11" s="163"/>
      <c r="Q11" s="167"/>
      <c r="R11" s="26">
        <f t="shared" si="6"/>
        <v>0</v>
      </c>
      <c r="S11" s="26">
        <f t="shared" si="7"/>
        <v>0</v>
      </c>
      <c r="T11" s="26" t="e">
        <f t="shared" si="8"/>
        <v>#DIV/0!</v>
      </c>
      <c r="U11" s="25">
        <f t="shared" si="9"/>
        <v>0</v>
      </c>
      <c r="V11" s="25">
        <f t="shared" si="10"/>
        <v>0</v>
      </c>
      <c r="W11" s="27" t="e">
        <f t="shared" si="11"/>
        <v>#DIV/0!</v>
      </c>
    </row>
    <row r="12" spans="2:23" s="24" customFormat="1" ht="16" x14ac:dyDescent="0.2">
      <c r="B12" s="158"/>
      <c r="C12" s="158"/>
      <c r="D12" s="158"/>
      <c r="E12" s="159"/>
      <c r="F12" s="159"/>
      <c r="G12" s="160"/>
      <c r="H12" s="160"/>
      <c r="I12" s="160"/>
      <c r="J12" s="159"/>
      <c r="K12" s="161"/>
      <c r="L12" s="160"/>
      <c r="M12" s="160"/>
      <c r="N12" s="168"/>
      <c r="O12" s="168"/>
      <c r="P12" s="159"/>
      <c r="Q12" s="169"/>
      <c r="R12" s="26">
        <f t="shared" si="6"/>
        <v>0</v>
      </c>
      <c r="S12" s="26">
        <f t="shared" si="7"/>
        <v>0</v>
      </c>
      <c r="T12" s="26" t="e">
        <f t="shared" si="8"/>
        <v>#DIV/0!</v>
      </c>
      <c r="U12" s="25">
        <f t="shared" si="9"/>
        <v>0</v>
      </c>
      <c r="V12" s="25">
        <f t="shared" si="10"/>
        <v>0</v>
      </c>
      <c r="W12" s="27" t="e">
        <f t="shared" si="11"/>
        <v>#DIV/0!</v>
      </c>
    </row>
    <row r="13" spans="2:23" s="24" customFormat="1" ht="16" x14ac:dyDescent="0.2">
      <c r="B13" s="162"/>
      <c r="C13" s="162"/>
      <c r="D13" s="162"/>
      <c r="E13" s="163"/>
      <c r="F13" s="163"/>
      <c r="G13" s="164"/>
      <c r="H13" s="164"/>
      <c r="I13" s="164"/>
      <c r="J13" s="163"/>
      <c r="K13" s="165"/>
      <c r="L13" s="164"/>
      <c r="M13" s="164"/>
      <c r="N13" s="166"/>
      <c r="O13" s="166"/>
      <c r="P13" s="163"/>
      <c r="Q13" s="167"/>
      <c r="R13" s="26">
        <f t="shared" si="6"/>
        <v>0</v>
      </c>
      <c r="S13" s="26">
        <f t="shared" si="7"/>
        <v>0</v>
      </c>
      <c r="T13" s="26" t="e">
        <f t="shared" si="8"/>
        <v>#DIV/0!</v>
      </c>
      <c r="U13" s="25">
        <f t="shared" si="9"/>
        <v>0</v>
      </c>
      <c r="V13" s="25">
        <f t="shared" si="10"/>
        <v>0</v>
      </c>
      <c r="W13" s="27" t="e">
        <f t="shared" si="11"/>
        <v>#DIV/0!</v>
      </c>
    </row>
    <row r="14" spans="2:23" s="24" customFormat="1" ht="16" x14ac:dyDescent="0.2">
      <c r="B14" s="158"/>
      <c r="C14" s="158"/>
      <c r="D14" s="158"/>
      <c r="E14" s="159"/>
      <c r="F14" s="159"/>
      <c r="G14" s="160"/>
      <c r="H14" s="160"/>
      <c r="I14" s="160"/>
      <c r="J14" s="159"/>
      <c r="K14" s="161"/>
      <c r="L14" s="160"/>
      <c r="M14" s="160"/>
      <c r="N14" s="168"/>
      <c r="O14" s="168"/>
      <c r="P14" s="159"/>
      <c r="Q14" s="169"/>
      <c r="R14" s="26">
        <f t="shared" ref="R14:R18" si="12">N14+O14</f>
        <v>0</v>
      </c>
      <c r="S14" s="26">
        <f t="shared" ref="S14:S18" si="13">(P14+Q14)</f>
        <v>0</v>
      </c>
      <c r="T14" s="26" t="e">
        <f t="shared" ref="T14:T18" si="14">F14/E14</f>
        <v>#DIV/0!</v>
      </c>
      <c r="U14" s="25">
        <f t="shared" ref="U14:U18" si="15">(E14*60)*H14</f>
        <v>0</v>
      </c>
      <c r="V14" s="25">
        <f t="shared" ref="V14:V18" si="16">(L14+M14)/1024</f>
        <v>0</v>
      </c>
      <c r="W14" s="27" t="e">
        <f t="shared" ref="W14:W18" si="17">H14/I14</f>
        <v>#DIV/0!</v>
      </c>
    </row>
    <row r="15" spans="2:23" s="24" customFormat="1" ht="16" x14ac:dyDescent="0.2">
      <c r="B15" s="162"/>
      <c r="C15" s="162"/>
      <c r="D15" s="162"/>
      <c r="E15" s="163"/>
      <c r="F15" s="163"/>
      <c r="G15" s="164"/>
      <c r="H15" s="164"/>
      <c r="I15" s="164"/>
      <c r="J15" s="163"/>
      <c r="K15" s="165"/>
      <c r="L15" s="164"/>
      <c r="M15" s="164"/>
      <c r="N15" s="166"/>
      <c r="O15" s="166"/>
      <c r="P15" s="163"/>
      <c r="Q15" s="167"/>
      <c r="R15" s="26">
        <f t="shared" si="12"/>
        <v>0</v>
      </c>
      <c r="S15" s="26">
        <f t="shared" si="13"/>
        <v>0</v>
      </c>
      <c r="T15" s="26" t="e">
        <f t="shared" si="14"/>
        <v>#DIV/0!</v>
      </c>
      <c r="U15" s="25">
        <f t="shared" si="15"/>
        <v>0</v>
      </c>
      <c r="V15" s="25">
        <f t="shared" si="16"/>
        <v>0</v>
      </c>
      <c r="W15" s="27" t="e">
        <f t="shared" si="17"/>
        <v>#DIV/0!</v>
      </c>
    </row>
    <row r="16" spans="2:23" s="24" customFormat="1" ht="16" x14ac:dyDescent="0.2">
      <c r="B16" s="158"/>
      <c r="C16" s="158"/>
      <c r="D16" s="158"/>
      <c r="E16" s="159"/>
      <c r="F16" s="159"/>
      <c r="G16" s="160"/>
      <c r="H16" s="160"/>
      <c r="I16" s="160"/>
      <c r="J16" s="159"/>
      <c r="K16" s="161"/>
      <c r="L16" s="160"/>
      <c r="M16" s="160"/>
      <c r="N16" s="168"/>
      <c r="O16" s="168"/>
      <c r="P16" s="159"/>
      <c r="Q16" s="169"/>
      <c r="R16" s="26">
        <f t="shared" si="12"/>
        <v>0</v>
      </c>
      <c r="S16" s="26">
        <f t="shared" si="13"/>
        <v>0</v>
      </c>
      <c r="T16" s="26" t="e">
        <f t="shared" si="14"/>
        <v>#DIV/0!</v>
      </c>
      <c r="U16" s="25">
        <f t="shared" si="15"/>
        <v>0</v>
      </c>
      <c r="V16" s="25">
        <f t="shared" si="16"/>
        <v>0</v>
      </c>
      <c r="W16" s="27" t="e">
        <f t="shared" si="17"/>
        <v>#DIV/0!</v>
      </c>
    </row>
    <row r="17" spans="2:23" s="24" customFormat="1" ht="16" x14ac:dyDescent="0.2">
      <c r="B17" s="162"/>
      <c r="C17" s="162"/>
      <c r="D17" s="162"/>
      <c r="E17" s="163"/>
      <c r="F17" s="163"/>
      <c r="G17" s="164"/>
      <c r="H17" s="164"/>
      <c r="I17" s="164"/>
      <c r="J17" s="163"/>
      <c r="K17" s="165"/>
      <c r="L17" s="164"/>
      <c r="M17" s="164"/>
      <c r="N17" s="166"/>
      <c r="O17" s="166"/>
      <c r="P17" s="163"/>
      <c r="Q17" s="167"/>
      <c r="R17" s="26">
        <f t="shared" si="12"/>
        <v>0</v>
      </c>
      <c r="S17" s="26">
        <f t="shared" si="13"/>
        <v>0</v>
      </c>
      <c r="T17" s="26" t="e">
        <f t="shared" si="14"/>
        <v>#DIV/0!</v>
      </c>
      <c r="U17" s="25">
        <f t="shared" si="15"/>
        <v>0</v>
      </c>
      <c r="V17" s="25">
        <f t="shared" si="16"/>
        <v>0</v>
      </c>
      <c r="W17" s="27" t="e">
        <f t="shared" si="17"/>
        <v>#DIV/0!</v>
      </c>
    </row>
    <row r="18" spans="2:23" s="24" customFormat="1" ht="16" x14ac:dyDescent="0.2">
      <c r="B18" s="158"/>
      <c r="C18" s="158"/>
      <c r="D18" s="158"/>
      <c r="E18" s="159"/>
      <c r="F18" s="159"/>
      <c r="G18" s="160"/>
      <c r="H18" s="160"/>
      <c r="I18" s="160"/>
      <c r="J18" s="159"/>
      <c r="K18" s="161"/>
      <c r="L18" s="160"/>
      <c r="M18" s="160"/>
      <c r="N18" s="168"/>
      <c r="O18" s="168"/>
      <c r="P18" s="159"/>
      <c r="Q18" s="169"/>
      <c r="R18" s="26">
        <f t="shared" si="12"/>
        <v>0</v>
      </c>
      <c r="S18" s="26">
        <f t="shared" si="13"/>
        <v>0</v>
      </c>
      <c r="T18" s="26" t="e">
        <f t="shared" si="14"/>
        <v>#DIV/0!</v>
      </c>
      <c r="U18" s="25">
        <f t="shared" si="15"/>
        <v>0</v>
      </c>
      <c r="V18" s="25">
        <f t="shared" si="16"/>
        <v>0</v>
      </c>
      <c r="W18" s="27" t="e">
        <f t="shared" si="17"/>
        <v>#DIV/0!</v>
      </c>
    </row>
    <row r="19" spans="2:23" ht="16" x14ac:dyDescent="0.2">
      <c r="B19" s="162"/>
      <c r="C19" s="162"/>
      <c r="D19" s="162"/>
      <c r="E19" s="163"/>
      <c r="F19" s="163"/>
      <c r="G19" s="164"/>
      <c r="H19" s="164"/>
      <c r="I19" s="164"/>
      <c r="J19" s="163"/>
      <c r="K19" s="165"/>
      <c r="L19" s="164"/>
      <c r="M19" s="164"/>
      <c r="N19" s="163"/>
      <c r="O19" s="163"/>
      <c r="P19" s="163"/>
      <c r="Q19" s="163"/>
      <c r="R19" s="26">
        <f t="shared" si="0"/>
        <v>0</v>
      </c>
      <c r="S19" s="26">
        <f t="shared" si="1"/>
        <v>0</v>
      </c>
      <c r="T19" s="26" t="e">
        <f t="shared" si="2"/>
        <v>#DIV/0!</v>
      </c>
      <c r="U19" s="25">
        <f t="shared" si="3"/>
        <v>0</v>
      </c>
      <c r="V19" s="25">
        <f t="shared" si="4"/>
        <v>0</v>
      </c>
      <c r="W19" s="27" t="e">
        <f t="shared" si="5"/>
        <v>#DIV/0!</v>
      </c>
    </row>
    <row r="20" spans="2:23" s="24" customFormat="1" ht="16" x14ac:dyDescent="0.2">
      <c r="B20" s="158"/>
      <c r="C20" s="170"/>
      <c r="D20" s="158"/>
      <c r="E20" s="159"/>
      <c r="F20" s="159"/>
      <c r="G20" s="160"/>
      <c r="H20" s="160"/>
      <c r="I20" s="160"/>
      <c r="J20" s="159"/>
      <c r="K20" s="161"/>
      <c r="L20" s="160"/>
      <c r="M20" s="160"/>
      <c r="N20" s="159"/>
      <c r="O20" s="159"/>
      <c r="P20" s="159"/>
      <c r="Q20" s="159"/>
      <c r="R20" s="26">
        <f t="shared" si="0"/>
        <v>0</v>
      </c>
      <c r="S20" s="26">
        <f t="shared" si="1"/>
        <v>0</v>
      </c>
      <c r="T20" s="26" t="e">
        <f t="shared" si="2"/>
        <v>#DIV/0!</v>
      </c>
      <c r="U20" s="25">
        <f t="shared" si="3"/>
        <v>0</v>
      </c>
      <c r="V20" s="25">
        <f t="shared" si="4"/>
        <v>0</v>
      </c>
      <c r="W20" s="27" t="e">
        <f t="shared" si="5"/>
        <v>#DIV/0!</v>
      </c>
    </row>
    <row r="21" spans="2:23" s="24" customFormat="1" ht="16" x14ac:dyDescent="0.2">
      <c r="B21" s="162"/>
      <c r="C21" s="171"/>
      <c r="D21" s="162"/>
      <c r="E21" s="163"/>
      <c r="F21" s="163"/>
      <c r="G21" s="164"/>
      <c r="H21" s="164"/>
      <c r="I21" s="164"/>
      <c r="J21" s="163"/>
      <c r="K21" s="165"/>
      <c r="L21" s="164"/>
      <c r="M21" s="164"/>
      <c r="N21" s="163"/>
      <c r="O21" s="163"/>
      <c r="P21" s="163"/>
      <c r="Q21" s="163"/>
      <c r="R21" s="26">
        <f t="shared" si="0"/>
        <v>0</v>
      </c>
      <c r="S21" s="26">
        <f t="shared" si="1"/>
        <v>0</v>
      </c>
      <c r="T21" s="26" t="e">
        <f t="shared" si="2"/>
        <v>#DIV/0!</v>
      </c>
      <c r="U21" s="25">
        <f t="shared" si="3"/>
        <v>0</v>
      </c>
      <c r="V21" s="25">
        <f t="shared" si="4"/>
        <v>0</v>
      </c>
      <c r="W21" s="27" t="e">
        <f t="shared" si="5"/>
        <v>#DIV/0!</v>
      </c>
    </row>
    <row r="22" spans="2:23" s="24" customFormat="1" ht="16" x14ac:dyDescent="0.2">
      <c r="B22" s="158"/>
      <c r="C22" s="158"/>
      <c r="D22" s="158"/>
      <c r="E22" s="159"/>
      <c r="F22" s="159"/>
      <c r="G22" s="160"/>
      <c r="H22" s="160"/>
      <c r="I22" s="160"/>
      <c r="J22" s="159"/>
      <c r="K22" s="161"/>
      <c r="L22" s="160"/>
      <c r="M22" s="160"/>
      <c r="N22" s="159"/>
      <c r="O22" s="159"/>
      <c r="P22" s="159"/>
      <c r="Q22" s="159"/>
      <c r="R22" s="26">
        <f t="shared" si="0"/>
        <v>0</v>
      </c>
      <c r="S22" s="26">
        <f t="shared" si="1"/>
        <v>0</v>
      </c>
      <c r="T22" s="26" t="e">
        <f t="shared" si="2"/>
        <v>#DIV/0!</v>
      </c>
      <c r="U22" s="25">
        <f t="shared" si="3"/>
        <v>0</v>
      </c>
      <c r="V22" s="25">
        <f t="shared" si="4"/>
        <v>0</v>
      </c>
      <c r="W22" s="27" t="e">
        <f t="shared" si="5"/>
        <v>#DIV/0!</v>
      </c>
    </row>
    <row r="23" spans="2:23" s="24" customFormat="1" ht="16" x14ac:dyDescent="0.2">
      <c r="B23" s="162"/>
      <c r="C23" s="162"/>
      <c r="D23" s="162"/>
      <c r="E23" s="163"/>
      <c r="F23" s="163"/>
      <c r="G23" s="164"/>
      <c r="H23" s="164"/>
      <c r="I23" s="164"/>
      <c r="J23" s="163"/>
      <c r="K23" s="165"/>
      <c r="L23" s="164"/>
      <c r="M23" s="164"/>
      <c r="N23" s="166"/>
      <c r="O23" s="166"/>
      <c r="P23" s="163"/>
      <c r="Q23" s="167"/>
      <c r="R23" s="26">
        <f>N23+O23</f>
        <v>0</v>
      </c>
      <c r="S23" s="26">
        <f>(P23+Q23)</f>
        <v>0</v>
      </c>
      <c r="T23" s="26" t="e">
        <f>F23/E23</f>
        <v>#DIV/0!</v>
      </c>
      <c r="U23" s="25">
        <f>(E23*60)*H23</f>
        <v>0</v>
      </c>
      <c r="V23" s="25">
        <f>(L23+M23)/1024</f>
        <v>0</v>
      </c>
      <c r="W23" s="27" t="e">
        <f>H23/I23</f>
        <v>#DIV/0!</v>
      </c>
    </row>
    <row r="24" spans="2:23" s="24" customFormat="1" ht="16" x14ac:dyDescent="0.2">
      <c r="B24" s="158"/>
      <c r="C24" s="158"/>
      <c r="D24" s="158"/>
      <c r="E24" s="159"/>
      <c r="F24" s="159"/>
      <c r="G24" s="160"/>
      <c r="H24" s="160"/>
      <c r="I24" s="160"/>
      <c r="J24" s="159"/>
      <c r="K24" s="161"/>
      <c r="L24" s="160"/>
      <c r="M24" s="160"/>
      <c r="N24" s="168"/>
      <c r="O24" s="168"/>
      <c r="P24" s="159"/>
      <c r="Q24" s="169"/>
      <c r="R24" s="26">
        <f>N24+O24</f>
        <v>0</v>
      </c>
      <c r="S24" s="26">
        <f>(P24+Q24)</f>
        <v>0</v>
      </c>
      <c r="T24" s="26" t="e">
        <f>F24/E24</f>
        <v>#DIV/0!</v>
      </c>
      <c r="U24" s="25">
        <f>(E24*60)*H24</f>
        <v>0</v>
      </c>
      <c r="V24" s="25">
        <f>(L24+M24)/1024</f>
        <v>0</v>
      </c>
      <c r="W24" s="27" t="e">
        <f>H24/I24</f>
        <v>#DIV/0!</v>
      </c>
    </row>
    <row r="25" spans="2:23" s="24" customFormat="1" ht="16" x14ac:dyDescent="0.2">
      <c r="B25" s="171"/>
      <c r="C25" s="171"/>
      <c r="D25" s="162"/>
      <c r="E25" s="163"/>
      <c r="F25" s="163"/>
      <c r="G25" s="164"/>
      <c r="H25" s="164"/>
      <c r="I25" s="164"/>
      <c r="J25" s="163"/>
      <c r="K25" s="165"/>
      <c r="L25" s="164"/>
      <c r="M25" s="164"/>
      <c r="N25" s="163"/>
      <c r="O25" s="163"/>
      <c r="P25" s="163"/>
      <c r="Q25" s="163"/>
      <c r="R25" s="26">
        <f t="shared" si="0"/>
        <v>0</v>
      </c>
      <c r="S25" s="26">
        <f t="shared" si="1"/>
        <v>0</v>
      </c>
      <c r="T25" s="26" t="e">
        <f t="shared" si="2"/>
        <v>#DIV/0!</v>
      </c>
      <c r="U25" s="25">
        <f t="shared" si="3"/>
        <v>0</v>
      </c>
      <c r="V25" s="25">
        <f t="shared" si="4"/>
        <v>0</v>
      </c>
      <c r="W25" s="27" t="e">
        <f t="shared" si="5"/>
        <v>#DIV/0!</v>
      </c>
    </row>
    <row r="26" spans="2:23" ht="19.25" customHeight="1" thickBot="1" x14ac:dyDescent="0.25"/>
    <row r="27" spans="2:23" ht="19.25" customHeight="1" x14ac:dyDescent="0.2">
      <c r="D27" s="178" t="s">
        <v>53</v>
      </c>
      <c r="E27" s="179" t="s">
        <v>55</v>
      </c>
      <c r="F27" s="180" t="s">
        <v>54</v>
      </c>
    </row>
    <row r="28" spans="2:23" s="9" customFormat="1" ht="19" x14ac:dyDescent="0.25">
      <c r="D28" s="38" t="s">
        <v>47</v>
      </c>
      <c r="E28" s="35">
        <v>2</v>
      </c>
      <c r="F28" s="42">
        <v>2</v>
      </c>
      <c r="H28" s="10"/>
      <c r="R28" s="29"/>
    </row>
    <row r="29" spans="2:23" ht="12.5" customHeight="1" x14ac:dyDescent="0.2">
      <c r="D29" s="38" t="s">
        <v>48</v>
      </c>
      <c r="E29" s="35">
        <v>2</v>
      </c>
      <c r="F29" s="43">
        <v>2</v>
      </c>
    </row>
    <row r="30" spans="2:23" ht="12.5" customHeight="1" x14ac:dyDescent="0.2">
      <c r="D30" s="38" t="s">
        <v>49</v>
      </c>
      <c r="E30" s="36">
        <v>2</v>
      </c>
      <c r="F30" s="44">
        <v>2</v>
      </c>
    </row>
    <row r="31" spans="2:23" ht="13.25" customHeight="1" x14ac:dyDescent="0.2">
      <c r="D31" s="38" t="s">
        <v>52</v>
      </c>
      <c r="E31" s="37">
        <v>2</v>
      </c>
      <c r="F31" s="45">
        <v>2</v>
      </c>
    </row>
    <row r="32" spans="2:23" x14ac:dyDescent="0.2">
      <c r="D32" s="38" t="s">
        <v>50</v>
      </c>
      <c r="E32" s="35">
        <v>0.75</v>
      </c>
      <c r="F32" s="43">
        <v>0.75</v>
      </c>
    </row>
    <row r="33" spans="2:13" ht="13.25" customHeight="1" thickBot="1" x14ac:dyDescent="0.25">
      <c r="D33" s="39" t="s">
        <v>51</v>
      </c>
      <c r="E33" s="40">
        <v>1.25</v>
      </c>
      <c r="F33" s="46">
        <v>1.25</v>
      </c>
    </row>
    <row r="34" spans="2:13" x14ac:dyDescent="0.2">
      <c r="D34" s="41" t="s">
        <v>56</v>
      </c>
    </row>
    <row r="35" spans="2:13" ht="16" thickBot="1" x14ac:dyDescent="0.25"/>
    <row r="36" spans="2:13" ht="19" x14ac:dyDescent="0.25">
      <c r="B36" s="75" t="s">
        <v>72</v>
      </c>
      <c r="C36" s="181"/>
      <c r="D36" s="182"/>
      <c r="E36" s="183"/>
      <c r="F36" s="182"/>
      <c r="G36" s="183"/>
      <c r="H36" s="183"/>
      <c r="I36" s="183"/>
      <c r="J36" s="183"/>
      <c r="K36" s="183"/>
      <c r="L36" s="183"/>
      <c r="M36" s="184"/>
    </row>
    <row r="37" spans="2:13" x14ac:dyDescent="0.2">
      <c r="C37" s="185" t="s">
        <v>60</v>
      </c>
      <c r="D37" s="186"/>
      <c r="E37" s="187"/>
      <c r="F37" s="186"/>
      <c r="G37" s="188"/>
      <c r="H37" s="188"/>
      <c r="I37" s="188"/>
      <c r="J37" s="188"/>
      <c r="K37" s="188"/>
      <c r="L37" s="188"/>
      <c r="M37" s="189"/>
    </row>
    <row r="38" spans="2:13" x14ac:dyDescent="0.2">
      <c r="C38" s="190"/>
      <c r="D38" s="191"/>
      <c r="E38" s="188"/>
      <c r="F38" s="191"/>
      <c r="G38" s="188"/>
      <c r="H38" s="188"/>
      <c r="I38" s="188"/>
      <c r="J38" s="188"/>
      <c r="K38" s="188"/>
      <c r="L38" s="188"/>
      <c r="M38" s="189"/>
    </row>
    <row r="39" spans="2:13" x14ac:dyDescent="0.2">
      <c r="C39" s="190"/>
      <c r="D39" s="191"/>
      <c r="E39" s="188"/>
      <c r="F39" s="191"/>
      <c r="G39" s="188"/>
      <c r="H39" s="188"/>
      <c r="I39" s="188"/>
      <c r="J39" s="188"/>
      <c r="K39" s="188"/>
      <c r="L39" s="188"/>
      <c r="M39" s="189"/>
    </row>
    <row r="40" spans="2:13" ht="16" thickBot="1" x14ac:dyDescent="0.25">
      <c r="C40" s="192"/>
      <c r="D40" s="193"/>
      <c r="E40" s="194"/>
      <c r="F40" s="193"/>
      <c r="G40" s="194"/>
      <c r="H40" s="194"/>
      <c r="I40" s="194"/>
      <c r="J40" s="194"/>
      <c r="K40" s="194"/>
      <c r="L40" s="194"/>
      <c r="M40" s="195"/>
    </row>
  </sheetData>
  <phoneticPr fontId="2" type="noConversion"/>
  <hyperlinks>
    <hyperlink ref="D2" r:id="rId1" xr:uid="{305B5E94-531B-4FFE-8758-FFF06837847C}"/>
  </hyperlinks>
  <pageMargins left="0.7" right="0.7" top="0.75" bottom="0.75" header="0.3" footer="0.3"/>
  <pageSetup orientation="portrait" r:id="rId2"/>
  <drawing r:id="rId3"/>
  <legacy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750E-AE5D-4A47-94AB-E0FC4862066E}">
  <sheetPr codeName="Sheet1"/>
  <dimension ref="B1:S81"/>
  <sheetViews>
    <sheetView showGridLines="0" zoomScaleNormal="100" workbookViewId="0">
      <selection activeCell="P45" sqref="P45"/>
    </sheetView>
  </sheetViews>
  <sheetFormatPr baseColWidth="10" defaultColWidth="8.83203125" defaultRowHeight="15" x14ac:dyDescent="0.2"/>
  <cols>
    <col min="1" max="1" width="3" customWidth="1"/>
    <col min="2" max="2" width="15.33203125" customWidth="1"/>
    <col min="3" max="3" width="12" customWidth="1"/>
    <col min="4" max="5" width="14.6640625" customWidth="1"/>
    <col min="6" max="6" width="15.1640625" style="3" customWidth="1"/>
    <col min="7" max="7" width="14.33203125" customWidth="1"/>
    <col min="8" max="8" width="12.6640625" style="3" customWidth="1"/>
    <col min="9" max="15" width="12.6640625" customWidth="1"/>
    <col min="16" max="16" width="12.5" customWidth="1"/>
    <col min="17" max="17" width="11.6640625" customWidth="1"/>
    <col min="18" max="18" width="11" customWidth="1"/>
    <col min="19" max="19" width="12.33203125" customWidth="1"/>
    <col min="20" max="20" width="13.83203125" customWidth="1"/>
    <col min="21" max="21" width="10.33203125" customWidth="1"/>
    <col min="22" max="22" width="11.1640625" bestFit="1" customWidth="1"/>
    <col min="23" max="23" width="12.6640625" customWidth="1"/>
  </cols>
  <sheetData>
    <row r="1" spans="2:19" s="9" customFormat="1" ht="19" x14ac:dyDescent="0.25">
      <c r="D1" s="9" t="s">
        <v>24</v>
      </c>
      <c r="G1" s="15"/>
      <c r="H1" s="15"/>
      <c r="I1" s="16"/>
      <c r="J1" s="16"/>
      <c r="K1" s="16"/>
      <c r="L1" s="28"/>
      <c r="M1" s="18"/>
      <c r="N1" s="16"/>
      <c r="O1" s="15"/>
      <c r="P1" s="15"/>
      <c r="Q1" s="15"/>
      <c r="R1" s="15"/>
      <c r="S1" s="15"/>
    </row>
    <row r="2" spans="2:19" s="29" customFormat="1" ht="19" x14ac:dyDescent="0.25">
      <c r="D2" s="32" t="s">
        <v>25</v>
      </c>
      <c r="G2" s="15"/>
      <c r="H2" s="15"/>
      <c r="I2" s="16"/>
      <c r="J2" s="16"/>
      <c r="K2" s="16"/>
      <c r="L2" s="28"/>
      <c r="M2" s="18"/>
      <c r="N2" s="16"/>
      <c r="O2" s="15"/>
      <c r="P2" s="15"/>
      <c r="Q2" s="15"/>
      <c r="R2" s="15"/>
      <c r="S2" s="15"/>
    </row>
    <row r="3" spans="2:19" s="31" customFormat="1" ht="16" x14ac:dyDescent="0.2">
      <c r="D3" s="32" t="s">
        <v>40</v>
      </c>
      <c r="G3" s="6"/>
      <c r="H3" s="6"/>
      <c r="I3" s="7"/>
      <c r="J3" s="7"/>
      <c r="K3" s="7"/>
      <c r="L3" s="19"/>
      <c r="M3" s="14"/>
      <c r="N3" s="7"/>
      <c r="O3" s="6"/>
      <c r="P3" s="6"/>
      <c r="Q3" s="6"/>
      <c r="R3" s="6"/>
      <c r="S3" s="6"/>
    </row>
    <row r="4" spans="2:19" ht="19" x14ac:dyDescent="0.25">
      <c r="D4" s="9"/>
      <c r="F4"/>
      <c r="G4" s="6"/>
      <c r="H4" s="6"/>
      <c r="I4" s="7"/>
      <c r="J4" s="7"/>
      <c r="K4" s="7"/>
      <c r="L4" s="19"/>
      <c r="M4" s="14"/>
      <c r="N4" s="7"/>
      <c r="O4" s="6"/>
      <c r="P4" s="6"/>
      <c r="Q4" s="6"/>
      <c r="R4" s="6"/>
      <c r="S4" s="6"/>
    </row>
    <row r="5" spans="2:19" s="9" customFormat="1" ht="19" x14ac:dyDescent="0.25">
      <c r="B5" s="9" t="s">
        <v>41</v>
      </c>
      <c r="E5" s="15"/>
      <c r="F5" s="16"/>
      <c r="G5" s="16"/>
      <c r="H5" s="17"/>
      <c r="I5" s="15"/>
      <c r="J5" s="17"/>
      <c r="K5" s="18"/>
      <c r="L5" s="16"/>
      <c r="M5" s="16"/>
      <c r="N5" s="15"/>
      <c r="O5" s="15"/>
      <c r="P5" s="15"/>
      <c r="Q5" s="15"/>
    </row>
    <row r="6" spans="2:19" s="2" customFormat="1" ht="80" x14ac:dyDescent="0.2">
      <c r="B6" s="213" t="s">
        <v>0</v>
      </c>
      <c r="C6" s="213" t="s">
        <v>1</v>
      </c>
      <c r="D6" s="138" t="s">
        <v>37</v>
      </c>
      <c r="E6" s="138" t="s">
        <v>34</v>
      </c>
      <c r="F6" s="138" t="s">
        <v>35</v>
      </c>
      <c r="G6" s="138" t="s">
        <v>36</v>
      </c>
      <c r="H6" s="138" t="s">
        <v>6</v>
      </c>
    </row>
    <row r="7" spans="2:19" x14ac:dyDescent="0.2">
      <c r="B7" s="133"/>
      <c r="C7" s="133"/>
      <c r="D7" s="145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7" s="146" t="str">
        <f>IF(InstSummary[[#This Row],[Instance Name]]="","",SUMIFS(AWRData[ORA use (GB)],AWRData[Instance Name],InstSummary[[#This Row],[Instance Name]]))</f>
        <v/>
      </c>
      <c r="F7" s="142" t="str">
        <f>IF(InstSummary[[#This Row],[Instance Name]]="","",SUMIFS(AWRData[Total IOPS],AWRData[Instance Name],InstSummary[[#This Row],[Instance Name]]))</f>
        <v/>
      </c>
      <c r="G7" s="142" t="str">
        <f>IF(InstSummary[[#This Row],[Instance Name]]="","",SUMIFS(AWRData[Total Throughput (MB/s)],AWRData[Instance Name],InstSummary[[#This Row],[Instance Name]]))</f>
        <v/>
      </c>
      <c r="H7" s="142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8" spans="2:19" x14ac:dyDescent="0.2">
      <c r="B8" s="135"/>
      <c r="C8" s="135"/>
      <c r="D8" s="14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8" s="148" t="str">
        <f>IF(InstSummary[[#This Row],[Instance Name]]="","",SUMIFS(AWRData[ORA use (GB)],AWRData[Instance Name],InstSummary[[#This Row],[Instance Name]]))</f>
        <v/>
      </c>
      <c r="F8" s="143" t="str">
        <f>IF(InstSummary[[#This Row],[Instance Name]]="","",SUMIFS(AWRData[Total IOPS],AWRData[Instance Name],InstSummary[[#This Row],[Instance Name]]))</f>
        <v/>
      </c>
      <c r="G8" s="143" t="str">
        <f>IF(InstSummary[[#This Row],[Instance Name]]="","",SUMIFS(AWRData[Total Throughput (MB/s)],AWRData[Instance Name],InstSummary[[#This Row],[Instance Name]]))</f>
        <v/>
      </c>
      <c r="H8" s="143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9" spans="2:19" x14ac:dyDescent="0.2">
      <c r="B9" s="133"/>
      <c r="C9" s="133"/>
      <c r="D9" s="145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9" s="146" t="str">
        <f>IF(InstSummary[[#This Row],[Instance Name]]="","",SUMIFS(AWRData[ORA use (GB)],AWRData[Instance Name],InstSummary[[#This Row],[Instance Name]]))</f>
        <v/>
      </c>
      <c r="F9" s="142" t="str">
        <f>IF(InstSummary[[#This Row],[Instance Name]]="","",SUMIFS(AWRData[Total IOPS],AWRData[Instance Name],InstSummary[[#This Row],[Instance Name]]))</f>
        <v/>
      </c>
      <c r="G9" s="142" t="str">
        <f>IF(InstSummary[[#This Row],[Instance Name]]="","",SUMIFS(AWRData[Total Throughput (MB/s)],AWRData[Instance Name],InstSummary[[#This Row],[Instance Name]]))</f>
        <v/>
      </c>
      <c r="H9" s="142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0" spans="2:19" x14ac:dyDescent="0.2">
      <c r="B10" s="135"/>
      <c r="C10" s="135"/>
      <c r="D10" s="14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0" s="148" t="str">
        <f>IF(InstSummary[[#This Row],[Instance Name]]="","",SUMIFS(AWRData[ORA use (GB)],AWRData[Instance Name],InstSummary[[#This Row],[Instance Name]]))</f>
        <v/>
      </c>
      <c r="F10" s="143" t="str">
        <f>IF(InstSummary[[#This Row],[Instance Name]]="","",SUMIFS(AWRData[Total IOPS],AWRData[Instance Name],InstSummary[[#This Row],[Instance Name]]))</f>
        <v/>
      </c>
      <c r="G10" s="143" t="str">
        <f>IF(InstSummary[[#This Row],[Instance Name]]="","",SUMIFS(AWRData[Total Throughput (MB/s)],AWRData[Instance Name],InstSummary[[#This Row],[Instance Name]]))</f>
        <v/>
      </c>
      <c r="H10" s="143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1" spans="2:19" x14ac:dyDescent="0.2">
      <c r="B11" s="133"/>
      <c r="C11" s="133"/>
      <c r="D11" s="145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1" s="146" t="str">
        <f>IF(InstSummary[[#This Row],[Instance Name]]="","",SUMIFS(AWRData[ORA use (GB)],AWRData[Instance Name],InstSummary[[#This Row],[Instance Name]]))</f>
        <v/>
      </c>
      <c r="F11" s="142" t="str">
        <f>IF(InstSummary[[#This Row],[Instance Name]]="","",SUMIFS(AWRData[Total IOPS],AWRData[Instance Name],InstSummary[[#This Row],[Instance Name]]))</f>
        <v/>
      </c>
      <c r="G11" s="142" t="str">
        <f>IF(InstSummary[[#This Row],[Instance Name]]="","",SUMIFS(AWRData[Total Throughput (MB/s)],AWRData[Instance Name],InstSummary[[#This Row],[Instance Name]]))</f>
        <v/>
      </c>
      <c r="H11" s="142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2" spans="2:19" x14ac:dyDescent="0.2">
      <c r="B12" s="135"/>
      <c r="C12" s="135"/>
      <c r="D12" s="14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2" s="148" t="str">
        <f>IF(InstSummary[[#This Row],[Instance Name]]="","",SUMIFS(AWRData[ORA use (GB)],AWRData[Instance Name],InstSummary[[#This Row],[Instance Name]]))</f>
        <v/>
      </c>
      <c r="F12" s="143" t="str">
        <f>IF(InstSummary[[#This Row],[Instance Name]]="","",SUMIFS(AWRData[Total IOPS],AWRData[Instance Name],InstSummary[[#This Row],[Instance Name]]))</f>
        <v/>
      </c>
      <c r="G12" s="143" t="str">
        <f>IF(InstSummary[[#This Row],[Instance Name]]="","",SUMIFS(AWRData[Total Throughput (MB/s)],AWRData[Instance Name],InstSummary[[#This Row],[Instance Name]]))</f>
        <v/>
      </c>
      <c r="H12" s="143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3" spans="2:19" x14ac:dyDescent="0.2">
      <c r="B13" s="133"/>
      <c r="C13" s="133"/>
      <c r="D13" s="145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3" s="146" t="str">
        <f>IF(InstSummary[[#This Row],[Instance Name]]="","",SUMIFS(AWRData[ORA use (GB)],AWRData[Instance Name],InstSummary[[#This Row],[Instance Name]]))</f>
        <v/>
      </c>
      <c r="F13" s="142" t="str">
        <f>IF(InstSummary[[#This Row],[Instance Name]]="","",SUMIFS(AWRData[Total IOPS],AWRData[Instance Name],InstSummary[[#This Row],[Instance Name]]))</f>
        <v/>
      </c>
      <c r="G13" s="142" t="str">
        <f>IF(InstSummary[[#This Row],[Instance Name]]="","",SUMIFS(AWRData[Total Throughput (MB/s)],AWRData[Instance Name],InstSummary[[#This Row],[Instance Name]]))</f>
        <v/>
      </c>
      <c r="H13" s="142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4" spans="2:19" x14ac:dyDescent="0.2">
      <c r="B14" s="135"/>
      <c r="C14" s="137"/>
      <c r="D14" s="14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4" s="148" t="str">
        <f>IF(InstSummary[[#This Row],[Instance Name]]="","",SUMIFS(AWRData[ORA use (GB)],AWRData[Instance Name],InstSummary[[#This Row],[Instance Name]]))</f>
        <v/>
      </c>
      <c r="F14" s="143" t="str">
        <f>IF(InstSummary[[#This Row],[Instance Name]]="","",SUMIFS(AWRData[Total IOPS],AWRData[Instance Name],InstSummary[[#This Row],[Instance Name]]))</f>
        <v/>
      </c>
      <c r="G14" s="143" t="str">
        <f>IF(InstSummary[[#This Row],[Instance Name]]="","",SUMIFS(AWRData[Total Throughput (MB/s)],AWRData[Instance Name],InstSummary[[#This Row],[Instance Name]]))</f>
        <v/>
      </c>
      <c r="H14" s="143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5" spans="2:19" x14ac:dyDescent="0.2">
      <c r="B15" s="133"/>
      <c r="C15" s="157"/>
      <c r="D15" s="145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5" s="146" t="str">
        <f>IF(InstSummary[[#This Row],[Instance Name]]="","",SUMIFS(AWRData[ORA use (GB)],AWRData[Instance Name],InstSummary[[#This Row],[Instance Name]]))</f>
        <v/>
      </c>
      <c r="F15" s="142" t="str">
        <f>IF(InstSummary[[#This Row],[Instance Name]]="","",SUMIFS(AWRData[Total IOPS],AWRData[Instance Name],InstSummary[[#This Row],[Instance Name]]))</f>
        <v/>
      </c>
      <c r="G15" s="142" t="str">
        <f>IF(InstSummary[[#This Row],[Instance Name]]="","",SUMIFS(AWRData[Total Throughput (MB/s)],AWRData[Instance Name],InstSummary[[#This Row],[Instance Name]]))</f>
        <v/>
      </c>
      <c r="H15" s="142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6" spans="2:19" x14ac:dyDescent="0.2">
      <c r="B16" s="135"/>
      <c r="C16" s="135"/>
      <c r="D16" s="14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6" s="148" t="str">
        <f>IF(InstSummary[[#This Row],[Instance Name]]="","",SUMIFS(AWRData[ORA use (GB)],AWRData[Instance Name],InstSummary[[#This Row],[Instance Name]]))</f>
        <v/>
      </c>
      <c r="F16" s="143" t="str">
        <f>IF(InstSummary[[#This Row],[Instance Name]]="","",SUMIFS(AWRData[Total IOPS],AWRData[Instance Name],InstSummary[[#This Row],[Instance Name]]))</f>
        <v/>
      </c>
      <c r="G16" s="143" t="str">
        <f>IF(InstSummary[[#This Row],[Instance Name]]="","",SUMIFS(AWRData[Total Throughput (MB/s)],AWRData[Instance Name],InstSummary[[#This Row],[Instance Name]]))</f>
        <v/>
      </c>
      <c r="H16" s="143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  <c r="J16" s="108" t="s">
        <v>103</v>
      </c>
    </row>
    <row r="17" spans="2:17" ht="20" thickBot="1" x14ac:dyDescent="0.3">
      <c r="B17" s="133"/>
      <c r="C17" s="133"/>
      <c r="D17" s="145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7" s="146" t="str">
        <f>IF(InstSummary[[#This Row],[Instance Name]]="","",SUMIFS(AWRData[ORA use (GB)],AWRData[Instance Name],InstSummary[[#This Row],[Instance Name]]))</f>
        <v/>
      </c>
      <c r="F17" s="142" t="str">
        <f>IF(InstSummary[[#This Row],[Instance Name]]="","",SUMIFS(AWRData[Total IOPS],AWRData[Instance Name],InstSummary[[#This Row],[Instance Name]]))</f>
        <v/>
      </c>
      <c r="G17" s="142" t="str">
        <f>IF(InstSummary[[#This Row],[Instance Name]]="","",SUMIFS(AWRData[Total Throughput (MB/s)],AWRData[Instance Name],InstSummary[[#This Row],[Instance Name]]))</f>
        <v/>
      </c>
      <c r="H17" s="142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  <c r="J17" s="9" t="s">
        <v>89</v>
      </c>
    </row>
    <row r="18" spans="2:17" ht="16" thickBot="1" x14ac:dyDescent="0.25">
      <c r="B18" s="135"/>
      <c r="C18" s="135"/>
      <c r="D18" s="147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8" s="148" t="str">
        <f>IF(InstSummary[[#This Row],[Instance Name]]="","",SUMIFS(AWRData[ORA use (GB)],AWRData[Instance Name],InstSummary[[#This Row],[Instance Name]]))</f>
        <v/>
      </c>
      <c r="F18" s="143" t="str">
        <f>IF(InstSummary[[#This Row],[Instance Name]]="","",SUMIFS(AWRData[Total IOPS],AWRData[Instance Name],InstSummary[[#This Row],[Instance Name]]))</f>
        <v/>
      </c>
      <c r="G18" s="143" t="str">
        <f>IF(InstSummary[[#This Row],[Instance Name]]="","",SUMIFS(AWRData[Total Throughput (MB/s)],AWRData[Instance Name],InstSummary[[#This Row],[Instance Name]]))</f>
        <v/>
      </c>
      <c r="H18" s="143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  <c r="J18" s="105" t="s">
        <v>90</v>
      </c>
      <c r="K18" s="106" t="s">
        <v>0</v>
      </c>
      <c r="L18" s="106" t="s">
        <v>91</v>
      </c>
      <c r="M18" s="107" t="s">
        <v>92</v>
      </c>
    </row>
    <row r="19" spans="2:17" x14ac:dyDescent="0.2">
      <c r="B19" s="133"/>
      <c r="C19" s="133"/>
      <c r="D19" s="145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9" s="146" t="str">
        <f>IF(InstSummary[[#This Row],[Instance Name]]="","",SUMIFS(AWRData[ORA use (GB)],AWRData[Instance Name],InstSummary[[#This Row],[Instance Name]]))</f>
        <v/>
      </c>
      <c r="F19" s="142" t="str">
        <f>IF(InstSummary[[#This Row],[Instance Name]]="","",SUMIFS(AWRData[Total IOPS],AWRData[Instance Name],InstSummary[[#This Row],[Instance Name]]))</f>
        <v/>
      </c>
      <c r="G19" s="142" t="str">
        <f>IF(InstSummary[[#This Row],[Instance Name]]="","",SUMIFS(AWRData[Total Throughput (MB/s)],AWRData[Instance Name],InstSummary[[#This Row],[Instance Name]]))</f>
        <v/>
      </c>
      <c r="H19" s="142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  <c r="J19" s="196" t="s">
        <v>93</v>
      </c>
      <c r="K19" s="93" t="s">
        <v>94</v>
      </c>
      <c r="L19" s="93" t="s">
        <v>98</v>
      </c>
      <c r="M19" s="104" t="s">
        <v>99</v>
      </c>
    </row>
    <row r="20" spans="2:17" x14ac:dyDescent="0.2">
      <c r="B20" s="217"/>
      <c r="C20" s="217"/>
      <c r="D20" s="152">
        <f>SUBTOTAL(109,InstSummary[%DB Time of Elapsed Time (aka Avg Active Sessions or "AAS")])</f>
        <v>0</v>
      </c>
      <c r="E20" s="150">
        <f>SUBTOTAL(109,InstSummary[Observed memory use (GB)])</f>
        <v>0</v>
      </c>
      <c r="F20" s="144">
        <f>SUBTOTAL(109,InstSummary[Observed IOPS])</f>
        <v>0</v>
      </c>
      <c r="G20" s="144">
        <f>SUBTOTAL(109,InstSummary[Observed Throughput (MB/s)])</f>
        <v>0</v>
      </c>
      <c r="H20" s="144">
        <f>SUBTOTAL(109,InstSummary[Est''d Azure vCPUs])</f>
        <v>0</v>
      </c>
      <c r="J20" s="94"/>
      <c r="K20" s="62" t="s">
        <v>95</v>
      </c>
      <c r="L20" s="62"/>
      <c r="M20" s="86"/>
    </row>
    <row r="21" spans="2:17" x14ac:dyDescent="0.2">
      <c r="E21" s="6"/>
      <c r="F21" s="7"/>
      <c r="G21" s="7"/>
      <c r="H21" s="5"/>
      <c r="I21" s="6"/>
      <c r="J21" s="95"/>
      <c r="K21" s="62"/>
      <c r="L21" s="92"/>
      <c r="M21" s="96"/>
      <c r="N21" s="6"/>
      <c r="O21" s="6"/>
      <c r="P21" s="6"/>
      <c r="Q21" s="6"/>
    </row>
    <row r="22" spans="2:17" s="9" customFormat="1" ht="17.75" customHeight="1" thickBot="1" x14ac:dyDescent="0.3">
      <c r="B22" s="9" t="s">
        <v>42</v>
      </c>
      <c r="E22" s="11"/>
      <c r="F22" s="12"/>
      <c r="G22" s="11"/>
      <c r="H22" s="12"/>
      <c r="J22" s="97"/>
      <c r="K22" s="98"/>
      <c r="L22" s="98"/>
      <c r="M22" s="99"/>
    </row>
    <row r="23" spans="2:17" s="1" customFormat="1" ht="81" thickBot="1" x14ac:dyDescent="0.25">
      <c r="B23" s="216" t="s">
        <v>27</v>
      </c>
      <c r="C23" s="213" t="s">
        <v>26</v>
      </c>
      <c r="D23" s="138" t="s">
        <v>37</v>
      </c>
      <c r="E23" s="138" t="s">
        <v>34</v>
      </c>
      <c r="F23" s="138" t="s">
        <v>35</v>
      </c>
      <c r="G23" s="138" t="s">
        <v>36</v>
      </c>
      <c r="H23" s="151" t="s">
        <v>6</v>
      </c>
    </row>
    <row r="24" spans="2:17" x14ac:dyDescent="0.2">
      <c r="B24" s="133"/>
      <c r="C24" s="114"/>
      <c r="D24" s="145" t="str">
        <f>IF(HostSummary[[#This Row],[Host]]="","",SUMIFS(AWRData[Average Active Sessions],AWRData[Host Name],HostSummary[[#This Row],[Host]]))</f>
        <v/>
      </c>
      <c r="E24" s="154" t="str">
        <f>IF(HostSummary[[#This Row],[Host]]="","",SUMIFS(AWRData[ORA use (GB)],AWRData[Host Name],HostSummary[[#This Row],[Host]]))</f>
        <v/>
      </c>
      <c r="F24" s="154" t="str">
        <f>IF(HostSummary[[#This Row],[Host]]="","",SUMIFS(AWRData[Total IOPS],AWRData[Host Name],HostSummary[[#This Row],[Host]]))</f>
        <v/>
      </c>
      <c r="G24" s="154" t="str">
        <f>IF(HostSummary[[#This Row],[Host]]="","",SUMIFS(AWRData[Total Throughput (MB/s)],AWRData[Host Name],HostSummary[[#This Row],[Host]]))</f>
        <v/>
      </c>
      <c r="H24" s="154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  <c r="J24" s="197" t="s">
        <v>96</v>
      </c>
      <c r="K24" s="100" t="s">
        <v>97</v>
      </c>
      <c r="L24" s="100" t="s">
        <v>100</v>
      </c>
      <c r="M24" s="84" t="s">
        <v>99</v>
      </c>
    </row>
    <row r="25" spans="2:17" x14ac:dyDescent="0.2">
      <c r="B25" s="135"/>
      <c r="C25" s="155"/>
      <c r="D25" s="147" t="str">
        <f>IF(HostSummary[[#This Row],[Host]]="","",SUMIFS(AWRData[Average Active Sessions],AWRData[Host Name],HostSummary[[#This Row],[Host]]))</f>
        <v/>
      </c>
      <c r="E25" s="156" t="str">
        <f>IF(HostSummary[[#This Row],[Host]]="","",SUMIFS(AWRData[ORA use (GB)],AWRData[Host Name],HostSummary[[#This Row],[Host]]))</f>
        <v/>
      </c>
      <c r="F25" s="156" t="str">
        <f>IF(HostSummary[[#This Row],[Host]]="","",SUMIFS(AWRData[Total IOPS],AWRData[Host Name],HostSummary[[#This Row],[Host]]))</f>
        <v/>
      </c>
      <c r="G25" s="156" t="str">
        <f>IF(HostSummary[[#This Row],[Host]]="","",SUMIFS(AWRData[Total Throughput (MB/s)],AWRData[Host Name],HostSummary[[#This Row],[Host]]))</f>
        <v/>
      </c>
      <c r="H25" s="156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  <c r="J25" s="94"/>
      <c r="K25" s="62"/>
      <c r="L25" s="62"/>
      <c r="M25" s="86"/>
    </row>
    <row r="26" spans="2:17" x14ac:dyDescent="0.2">
      <c r="B26" s="133"/>
      <c r="C26" s="114"/>
      <c r="D26" s="145" t="str">
        <f>IF(HostSummary[[#This Row],[Host]]="","",SUMIFS(AWRData[Average Active Sessions],AWRData[Host Name],HostSummary[[#This Row],[Host]]))</f>
        <v/>
      </c>
      <c r="E26" s="154" t="str">
        <f>IF(HostSummary[[#This Row],[Host]]="","",SUMIFS(AWRData[ORA use (GB)],AWRData[Host Name],HostSummary[[#This Row],[Host]]))</f>
        <v/>
      </c>
      <c r="F26" s="154" t="str">
        <f>IF(HostSummary[[#This Row],[Host]]="","",SUMIFS(AWRData[Total IOPS],AWRData[Host Name],HostSummary[[#This Row],[Host]]))</f>
        <v/>
      </c>
      <c r="G26" s="154" t="str">
        <f>IF(HostSummary[[#This Row],[Host]]="","",SUMIFS(AWRData[Total Throughput (MB/s)],AWRData[Host Name],HostSummary[[#This Row],[Host]]))</f>
        <v/>
      </c>
      <c r="H26" s="154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  <c r="J26" s="94"/>
      <c r="K26" s="62"/>
      <c r="L26" s="62"/>
      <c r="M26" s="86"/>
    </row>
    <row r="27" spans="2:17" x14ac:dyDescent="0.2">
      <c r="B27" s="135"/>
      <c r="C27" s="155"/>
      <c r="D27" s="147" t="str">
        <f>IF(HostSummary[[#This Row],[Host]]="","",SUMIFS(AWRData[Average Active Sessions],AWRData[Host Name],HostSummary[[#This Row],[Host]]))</f>
        <v/>
      </c>
      <c r="E27" s="156" t="str">
        <f>IF(HostSummary[[#This Row],[Host]]="","",SUMIFS(AWRData[ORA use (GB)],AWRData[Host Name],HostSummary[[#This Row],[Host]]))</f>
        <v/>
      </c>
      <c r="F27" s="156" t="str">
        <f>IF(HostSummary[[#This Row],[Host]]="","",SUMIFS(AWRData[Total IOPS],AWRData[Host Name],HostSummary[[#This Row],[Host]]))</f>
        <v/>
      </c>
      <c r="G27" s="156" t="str">
        <f>IF(HostSummary[[#This Row],[Host]]="","",SUMIFS(AWRData[Total Throughput (MB/s)],AWRData[Host Name],HostSummary[[#This Row],[Host]]))</f>
        <v/>
      </c>
      <c r="H27" s="156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  <c r="J27" s="94"/>
      <c r="K27" s="62"/>
      <c r="L27" s="62"/>
      <c r="M27" s="86"/>
    </row>
    <row r="28" spans="2:17" ht="16" thickBot="1" x14ac:dyDescent="0.25">
      <c r="B28" s="133"/>
      <c r="C28" s="114"/>
      <c r="D28" s="145" t="str">
        <f>IF(HostSummary[[#This Row],[Host]]="","",SUMIFS(AWRData[Average Active Sessions],AWRData[Host Name],HostSummary[[#This Row],[Host]]))</f>
        <v/>
      </c>
      <c r="E28" s="154" t="str">
        <f>IF(HostSummary[[#This Row],[Host]]="","",SUMIFS(AWRData[ORA use (GB)],AWRData[Host Name],HostSummary[[#This Row],[Host]]))</f>
        <v/>
      </c>
      <c r="F28" s="154" t="str">
        <f>IF(HostSummary[[#This Row],[Host]]="","",SUMIFS(AWRData[Total IOPS],AWRData[Host Name],HostSummary[[#This Row],[Host]]))</f>
        <v/>
      </c>
      <c r="G28" s="154" t="str">
        <f>IF(HostSummary[[#This Row],[Host]]="","",SUMIFS(AWRData[Total Throughput (MB/s)],AWRData[Host Name],HostSummary[[#This Row],[Host]]))</f>
        <v/>
      </c>
      <c r="H28" s="154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  <c r="J28" s="101"/>
      <c r="K28" s="102"/>
      <c r="L28" s="102"/>
      <c r="M28" s="103"/>
    </row>
    <row r="29" spans="2:17" x14ac:dyDescent="0.2">
      <c r="B29" s="135"/>
      <c r="C29" s="155"/>
      <c r="D29" s="147" t="str">
        <f>IF(HostSummary[[#This Row],[Host]]="","",SUMIFS(AWRData[Average Active Sessions],AWRData[Host Name],HostSummary[[#This Row],[Host]]))</f>
        <v/>
      </c>
      <c r="E29" s="156" t="str">
        <f>IF(HostSummary[[#This Row],[Host]]="","",SUMIFS(AWRData[ORA use (GB)],AWRData[Host Name],HostSummary[[#This Row],[Host]]))</f>
        <v/>
      </c>
      <c r="F29" s="156" t="str">
        <f>IF(HostSummary[[#This Row],[Host]]="","",SUMIFS(AWRData[Total IOPS],AWRData[Host Name],HostSummary[[#This Row],[Host]]))</f>
        <v/>
      </c>
      <c r="G29" s="156" t="str">
        <f>IF(HostSummary[[#This Row],[Host]]="","",SUMIFS(AWRData[Total Throughput (MB/s)],AWRData[Host Name],HostSummary[[#This Row],[Host]]))</f>
        <v/>
      </c>
      <c r="H29" s="156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0" spans="2:17" x14ac:dyDescent="0.2">
      <c r="B30" s="133"/>
      <c r="C30" s="114"/>
      <c r="D30" s="145" t="str">
        <f>IF(HostSummary[[#This Row],[Host]]="","",SUMIFS(AWRData[Average Active Sessions],AWRData[Host Name],HostSummary[[#This Row],[Host]]))</f>
        <v/>
      </c>
      <c r="E30" s="154" t="str">
        <f>IF(HostSummary[[#This Row],[Host]]="","",SUMIFS(AWRData[ORA use (GB)],AWRData[Host Name],HostSummary[[#This Row],[Host]]))</f>
        <v/>
      </c>
      <c r="F30" s="154" t="str">
        <f>IF(HostSummary[[#This Row],[Host]]="","",SUMIFS(AWRData[Total IOPS],AWRData[Host Name],HostSummary[[#This Row],[Host]]))</f>
        <v/>
      </c>
      <c r="G30" s="154" t="str">
        <f>IF(HostSummary[[#This Row],[Host]]="","",SUMIFS(AWRData[Total Throughput (MB/s)],AWRData[Host Name],HostSummary[[#This Row],[Host]]))</f>
        <v/>
      </c>
      <c r="H30" s="154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1" spans="2:17" ht="16" thickBot="1" x14ac:dyDescent="0.25">
      <c r="B31" s="135"/>
      <c r="C31" s="155"/>
      <c r="D31" s="147" t="str">
        <f>IF(HostSummary[[#This Row],[Host]]="","",SUMIFS(AWRData[Average Active Sessions],AWRData[Host Name],HostSummary[[#This Row],[Host]]))</f>
        <v/>
      </c>
      <c r="E31" s="156" t="str">
        <f>IF(HostSummary[[#This Row],[Host]]="","",SUMIFS(AWRData[ORA use (GB)],AWRData[Host Name],HostSummary[[#This Row],[Host]]))</f>
        <v/>
      </c>
      <c r="F31" s="156" t="str">
        <f>IF(HostSummary[[#This Row],[Host]]="","",SUMIFS(AWRData[Total IOPS],AWRData[Host Name],HostSummary[[#This Row],[Host]]))</f>
        <v/>
      </c>
      <c r="G31" s="156" t="str">
        <f>IF(HostSummary[[#This Row],[Host]]="","",SUMIFS(AWRData[Total Throughput (MB/s)],AWRData[Host Name],HostSummary[[#This Row],[Host]]))</f>
        <v/>
      </c>
      <c r="H31" s="156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2" spans="2:17" x14ac:dyDescent="0.2">
      <c r="B32" s="133"/>
      <c r="C32" s="114"/>
      <c r="D32" s="145" t="str">
        <f>IF(HostSummary[[#This Row],[Host]]="","",SUMIFS(AWRData[Average Active Sessions],AWRData[Host Name],HostSummary[[#This Row],[Host]]))</f>
        <v/>
      </c>
      <c r="E32" s="154" t="str">
        <f>IF(HostSummary[[#This Row],[Host]]="","",SUMIFS(AWRData[ORA use (GB)],AWRData[Host Name],HostSummary[[#This Row],[Host]]))</f>
        <v/>
      </c>
      <c r="F32" s="154" t="str">
        <f>IF(HostSummary[[#This Row],[Host]]="","",SUMIFS(AWRData[Total IOPS],AWRData[Host Name],HostSummary[[#This Row],[Host]]))</f>
        <v/>
      </c>
      <c r="G32" s="154" t="str">
        <f>IF(HostSummary[[#This Row],[Host]]="","",SUMIFS(AWRData[Total Throughput (MB/s)],AWRData[Host Name],HostSummary[[#This Row],[Host]]))</f>
        <v/>
      </c>
      <c r="H32" s="154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  <c r="J32" s="197" t="s">
        <v>101</v>
      </c>
      <c r="K32" s="100" t="s">
        <v>102</v>
      </c>
      <c r="L32" s="100" t="s">
        <v>100</v>
      </c>
      <c r="M32" s="84" t="s">
        <v>99</v>
      </c>
    </row>
    <row r="33" spans="2:13" x14ac:dyDescent="0.2">
      <c r="B33" s="135"/>
      <c r="C33" s="155"/>
      <c r="D33" s="147" t="str">
        <f>IF(HostSummary[[#This Row],[Host]]="","",SUMIFS(AWRData[Average Active Sessions],AWRData[Host Name],HostSummary[[#This Row],[Host]]))</f>
        <v/>
      </c>
      <c r="E33" s="156" t="str">
        <f>IF(HostSummary[[#This Row],[Host]]="","",SUMIFS(AWRData[ORA use (GB)],AWRData[Host Name],HostSummary[[#This Row],[Host]]))</f>
        <v/>
      </c>
      <c r="F33" s="156" t="str">
        <f>IF(HostSummary[[#This Row],[Host]]="","",SUMIFS(AWRData[Total IOPS],AWRData[Host Name],HostSummary[[#This Row],[Host]]))</f>
        <v/>
      </c>
      <c r="G33" s="156" t="str">
        <f>IF(HostSummary[[#This Row],[Host]]="","",SUMIFS(AWRData[Total Throughput (MB/s)],AWRData[Host Name],HostSummary[[#This Row],[Host]]))</f>
        <v/>
      </c>
      <c r="H33" s="156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  <c r="J33" s="94"/>
      <c r="K33" s="62"/>
      <c r="L33" s="62"/>
      <c r="M33" s="86"/>
    </row>
    <row r="34" spans="2:13" x14ac:dyDescent="0.2">
      <c r="B34" s="133"/>
      <c r="C34" s="114"/>
      <c r="D34" s="145" t="str">
        <f>IF(HostSummary[[#This Row],[Host]]="","",SUMIFS(AWRData[Average Active Sessions],AWRData[Host Name],HostSummary[[#This Row],[Host]]))</f>
        <v/>
      </c>
      <c r="E34" s="154" t="str">
        <f>IF(HostSummary[[#This Row],[Host]]="","",SUMIFS(AWRData[ORA use (GB)],AWRData[Host Name],HostSummary[[#This Row],[Host]]))</f>
        <v/>
      </c>
      <c r="F34" s="154" t="str">
        <f>IF(HostSummary[[#This Row],[Host]]="","",SUMIFS(AWRData[Total IOPS],AWRData[Host Name],HostSummary[[#This Row],[Host]]))</f>
        <v/>
      </c>
      <c r="G34" s="154" t="str">
        <f>IF(HostSummary[[#This Row],[Host]]="","",SUMIFS(AWRData[Total Throughput (MB/s)],AWRData[Host Name],HostSummary[[#This Row],[Host]]))</f>
        <v/>
      </c>
      <c r="H34" s="154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  <c r="J34" s="94"/>
      <c r="K34" s="62"/>
      <c r="L34" s="62"/>
      <c r="M34" s="86"/>
    </row>
    <row r="35" spans="2:13" x14ac:dyDescent="0.2">
      <c r="B35" s="215" t="s">
        <v>7</v>
      </c>
      <c r="C35" s="215"/>
      <c r="D35" s="152">
        <f>SUBTOTAL(109,HostSummary[%DB Time of Elapsed Time (aka Avg Active Sessions or "AAS")])</f>
        <v>0</v>
      </c>
      <c r="E35" s="153">
        <f>SUBTOTAL(109,HostSummary[Observed memory use (GB)])</f>
        <v>0</v>
      </c>
      <c r="F35" s="153">
        <f>SUBTOTAL(109,HostSummary[Observed IOPS])</f>
        <v>0</v>
      </c>
      <c r="G35" s="153">
        <f>SUBTOTAL(109,HostSummary[Observed Throughput (MB/s)])</f>
        <v>0</v>
      </c>
      <c r="H35" s="153">
        <f>SUBTOTAL(109,HostSummary[Est''d Azure vCPUs])</f>
        <v>0</v>
      </c>
      <c r="J35" s="94"/>
      <c r="K35" s="62"/>
      <c r="L35" s="62"/>
      <c r="M35" s="86"/>
    </row>
    <row r="36" spans="2:13" ht="16" thickBot="1" x14ac:dyDescent="0.25">
      <c r="F36"/>
      <c r="H36"/>
      <c r="J36" s="101"/>
      <c r="K36" s="102"/>
      <c r="L36" s="102"/>
      <c r="M36" s="103"/>
    </row>
    <row r="37" spans="2:13" s="9" customFormat="1" ht="19" x14ac:dyDescent="0.25">
      <c r="B37" s="9" t="s">
        <v>43</v>
      </c>
      <c r="D37" s="10"/>
      <c r="F37" s="13"/>
      <c r="G37" s="12"/>
    </row>
    <row r="38" spans="2:13" s="2" customFormat="1" ht="96" x14ac:dyDescent="0.2">
      <c r="B38" s="213" t="s">
        <v>0</v>
      </c>
      <c r="C38" s="138" t="s">
        <v>37</v>
      </c>
      <c r="D38" s="138" t="s">
        <v>38</v>
      </c>
      <c r="E38" s="204" t="s">
        <v>33</v>
      </c>
      <c r="F38" s="138" t="s">
        <v>35</v>
      </c>
      <c r="G38" s="138" t="s">
        <v>39</v>
      </c>
      <c r="H38" s="204" t="s">
        <v>31</v>
      </c>
      <c r="I38" s="204" t="s">
        <v>32</v>
      </c>
      <c r="J38" s="138" t="s">
        <v>8</v>
      </c>
      <c r="K38" s="204" t="s">
        <v>9</v>
      </c>
      <c r="L38" s="211" t="s">
        <v>78</v>
      </c>
      <c r="M38" s="211" t="s">
        <v>79</v>
      </c>
    </row>
    <row r="39" spans="2:13" x14ac:dyDescent="0.2">
      <c r="B39" s="133"/>
      <c r="C39" s="145" t="str">
        <f>IF(DBSummary[[#This Row],[DB Name]]="","",SUMIFS(AWRData[DB Time (mins)],AWRData[DB Name],DBSummary[[#This Row],[DB Name]])/SUMIFS(AWRData[Elapsed Time (mins)],AWRData[DB Name],DBSummary[[#This Row],[DB Name]]))</f>
        <v/>
      </c>
      <c r="D39" s="146" t="str">
        <f>IF(DBSummary[[#This Row],[DB Name]]="","",SUMIFS(AWRData[ORA use (GB)],AWRData[DB Name],DBSummary[[#This Row],[DB Name]]))</f>
        <v/>
      </c>
      <c r="E39" s="199" t="str">
        <f>IF(DBSummary[[#This Row],[DB Name]]="","",PeakRAMfactor*DBSummary[[#This Row],[Observed memory (GiB) consumed only by Oracle]])</f>
        <v/>
      </c>
      <c r="F39" s="142" t="str">
        <f>IF(DBSummary[[#This Row],[DB Name]]="","",SUMIFS(AWRData[Total IOPS],AWRData[DB Name],DBSummary[[#This Row],[DB Name]]))</f>
        <v/>
      </c>
      <c r="G39" s="142" t="str">
        <f>IF(DBSummary[[#This Row],[DB Name]]="","",SUMIFS(AWRData[Total Throughput (MB/s)],AWRData[DB Name],DBSummary[[#This Row],[DB Name]]))</f>
        <v/>
      </c>
      <c r="H39" s="200" t="str">
        <f>IF(DBSummary[[#This Row],[DB Name]]="","",DBSummary[[#This Row],[Observed IOPS]]*IoMetricsFactor)</f>
        <v/>
      </c>
      <c r="I39" s="200" t="str">
        <f>IF(DBSummary[[#This Row],[DB Name]]="","",DBSummary[[#This Row],[Observed I/O throughput (MB/s)]]*IoMetricsFactor)</f>
        <v/>
      </c>
      <c r="J39" s="139" t="str">
        <f>IF(DBSummary[[#This Row],[DB Name]]="","",ROUND(SUMIFS(InstSummary[Est''d Azure vCPUs],InstSummary[DB Name],DBSummary[[#This Row],[DB Name]])+0.5,0))</f>
        <v/>
      </c>
      <c r="K39" s="203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39" s="134"/>
      <c r="M39" s="134"/>
    </row>
    <row r="40" spans="2:13" x14ac:dyDescent="0.2">
      <c r="B40" s="135"/>
      <c r="C40" s="147" t="str">
        <f>IF(DBSummary[[#This Row],[DB Name]]="","",SUMIFS(AWRData[DB Time (mins)],AWRData[DB Name],DBSummary[[#This Row],[DB Name]])/SUMIFS(AWRData[Elapsed Time (mins)],AWRData[DB Name],DBSummary[[#This Row],[DB Name]]))</f>
        <v/>
      </c>
      <c r="D40" s="148" t="str">
        <f>IF(DBSummary[[#This Row],[DB Name]]="","",SUMIFS(AWRData[ORA use (GB)],AWRData[DB Name],DBSummary[[#This Row],[DB Name]]))</f>
        <v/>
      </c>
      <c r="E40" s="198" t="str">
        <f>IF(DBSummary[[#This Row],[DB Name]]="","",PeakRAMfactor*DBSummary[[#This Row],[Observed memory (GiB) consumed only by Oracle]])</f>
        <v/>
      </c>
      <c r="F40" s="143" t="str">
        <f>IF(DBSummary[[#This Row],[DB Name]]="","",SUMIFS(AWRData[Total IOPS],AWRData[DB Name],DBSummary[[#This Row],[DB Name]]))</f>
        <v/>
      </c>
      <c r="G40" s="143" t="str">
        <f>IF(DBSummary[[#This Row],[DB Name]]="","",SUMIFS(AWRData[Total Throughput (MB/s)],AWRData[DB Name],DBSummary[[#This Row],[DB Name]]))</f>
        <v/>
      </c>
      <c r="H40" s="201"/>
      <c r="I40" s="201" t="str">
        <f>IF(DBSummary[[#This Row],[DB Name]]="","",DBSummary[[#This Row],[Observed I/O throughput (MB/s)]]*IoMetricsFactor)</f>
        <v/>
      </c>
      <c r="J40" s="140" t="str">
        <f>IF(DBSummary[[#This Row],[DB Name]]="","",ROUND(SUMIFS(InstSummary[Est''d Azure vCPUs],InstSummary[DB Name],DBSummary[[#This Row],[DB Name]])+0.5,0))</f>
        <v/>
      </c>
      <c r="K40" s="202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0" s="136"/>
      <c r="M40" s="136"/>
    </row>
    <row r="41" spans="2:13" x14ac:dyDescent="0.2">
      <c r="B41" s="133"/>
      <c r="C41" s="145" t="str">
        <f>IF(DBSummary[[#This Row],[DB Name]]="","",SUMIFS(AWRData[DB Time (mins)],AWRData[DB Name],DBSummary[[#This Row],[DB Name]])/SUMIFS(AWRData[Elapsed Time (mins)],AWRData[DB Name],DBSummary[[#This Row],[DB Name]]))</f>
        <v/>
      </c>
      <c r="D41" s="146" t="str">
        <f>IF(DBSummary[[#This Row],[DB Name]]="","",SUMIFS(AWRData[ORA use (GB)],AWRData[DB Name],DBSummary[[#This Row],[DB Name]]))</f>
        <v/>
      </c>
      <c r="E41" s="199" t="str">
        <f>IF(DBSummary[[#This Row],[DB Name]]="","",PeakRAMfactor*DBSummary[[#This Row],[Observed memory (GiB) consumed only by Oracle]])</f>
        <v/>
      </c>
      <c r="F41" s="142" t="str">
        <f>IF(DBSummary[[#This Row],[DB Name]]="","",SUMIFS(AWRData[Total IOPS],AWRData[DB Name],DBSummary[[#This Row],[DB Name]]))</f>
        <v/>
      </c>
      <c r="G41" s="142" t="str">
        <f>IF(DBSummary[[#This Row],[DB Name]]="","",SUMIFS(AWRData[Total Throughput (MB/s)],AWRData[DB Name],DBSummary[[#This Row],[DB Name]]))</f>
        <v/>
      </c>
      <c r="H41" s="200" t="str">
        <f>IF(DBSummary[[#This Row],[DB Name]]="","",DBSummary[[#This Row],[Observed IOPS]]*IoMetricsFactor)</f>
        <v/>
      </c>
      <c r="I41" s="200" t="str">
        <f>IF(DBSummary[[#This Row],[DB Name]]="","",DBSummary[[#This Row],[Observed I/O throughput (MB/s)]]*IoMetricsFactor)</f>
        <v/>
      </c>
      <c r="J41" s="139" t="str">
        <f>IF(DBSummary[[#This Row],[DB Name]]="","",ROUND(SUMIFS(InstSummary[Est''d Azure vCPUs],InstSummary[DB Name],DBSummary[[#This Row],[DB Name]])+0.5,0))</f>
        <v/>
      </c>
      <c r="K41" s="203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1" s="134"/>
      <c r="M41" s="134"/>
    </row>
    <row r="42" spans="2:13" x14ac:dyDescent="0.2">
      <c r="B42" s="135"/>
      <c r="C42" s="147" t="str">
        <f>IF(DBSummary[[#This Row],[DB Name]]="","",SUMIFS(AWRData[DB Time (mins)],AWRData[DB Name],DBSummary[[#This Row],[DB Name]])/SUMIFS(AWRData[Elapsed Time (mins)],AWRData[DB Name],DBSummary[[#This Row],[DB Name]]))</f>
        <v/>
      </c>
      <c r="D42" s="148" t="str">
        <f>IF(DBSummary[[#This Row],[DB Name]]="","",SUMIFS(AWRData[ORA use (GB)],AWRData[DB Name],DBSummary[[#This Row],[DB Name]]))</f>
        <v/>
      </c>
      <c r="E42" s="198" t="str">
        <f>IF(DBSummary[[#This Row],[DB Name]]="","",PeakRAMfactor*DBSummary[[#This Row],[Observed memory (GiB) consumed only by Oracle]])</f>
        <v/>
      </c>
      <c r="F42" s="143" t="str">
        <f>IF(DBSummary[[#This Row],[DB Name]]="","",SUMIFS(AWRData[Total IOPS],AWRData[DB Name],DBSummary[[#This Row],[DB Name]]))</f>
        <v/>
      </c>
      <c r="G42" s="143" t="str">
        <f>IF(DBSummary[[#This Row],[DB Name]]="","",SUMIFS(AWRData[Total Throughput (MB/s)],AWRData[DB Name],DBSummary[[#This Row],[DB Name]]))</f>
        <v/>
      </c>
      <c r="H42" s="201" t="str">
        <f>IF(DBSummary[[#This Row],[DB Name]]="","",DBSummary[[#This Row],[Observed IOPS]]*IoMetricsFactor)</f>
        <v/>
      </c>
      <c r="I42" s="201" t="str">
        <f>IF(DBSummary[[#This Row],[DB Name]]="","",DBSummary[[#This Row],[Observed I/O throughput (MB/s)]]*IoMetricsFactor)</f>
        <v/>
      </c>
      <c r="J42" s="140" t="str">
        <f>IF(DBSummary[[#This Row],[DB Name]]="","",ROUND(SUMIFS(InstSummary[Est''d Azure vCPUs],InstSummary[DB Name],DBSummary[[#This Row],[DB Name]])+0.5,0))</f>
        <v/>
      </c>
      <c r="K42" s="202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2" s="136"/>
      <c r="M42" s="136"/>
    </row>
    <row r="43" spans="2:13" x14ac:dyDescent="0.2">
      <c r="B43" s="133"/>
      <c r="C43" s="145" t="str">
        <f>IF(DBSummary[[#This Row],[DB Name]]="","",SUMIFS(AWRData[DB Time (mins)],AWRData[DB Name],DBSummary[[#This Row],[DB Name]])/SUMIFS(AWRData[Elapsed Time (mins)],AWRData[DB Name],DBSummary[[#This Row],[DB Name]]))</f>
        <v/>
      </c>
      <c r="D43" s="146" t="str">
        <f>IF(DBSummary[[#This Row],[DB Name]]="","",SUMIFS(AWRData[ORA use (GB)],AWRData[DB Name],DBSummary[[#This Row],[DB Name]]))</f>
        <v/>
      </c>
      <c r="E43" s="199" t="str">
        <f>IF(DBSummary[[#This Row],[DB Name]]="","",PeakRAMfactor*DBSummary[[#This Row],[Observed memory (GiB) consumed only by Oracle]])</f>
        <v/>
      </c>
      <c r="F43" s="142" t="str">
        <f>IF(DBSummary[[#This Row],[DB Name]]="","",SUMIFS(AWRData[Total IOPS],AWRData[DB Name],DBSummary[[#This Row],[DB Name]]))</f>
        <v/>
      </c>
      <c r="G43" s="142" t="str">
        <f>IF(DBSummary[[#This Row],[DB Name]]="","",SUMIFS(AWRData[Total Throughput (MB/s)],AWRData[DB Name],DBSummary[[#This Row],[DB Name]]))</f>
        <v/>
      </c>
      <c r="H43" s="200" t="str">
        <f>IF(DBSummary[[#This Row],[DB Name]]="","",DBSummary[[#This Row],[Observed IOPS]]*IoMetricsFactor)</f>
        <v/>
      </c>
      <c r="I43" s="200" t="str">
        <f>IF(DBSummary[[#This Row],[DB Name]]="","",DBSummary[[#This Row],[Observed I/O throughput (MB/s)]]*IoMetricsFactor)</f>
        <v/>
      </c>
      <c r="J43" s="139" t="str">
        <f>IF(DBSummary[[#This Row],[DB Name]]="","",ROUND(SUMIFS(InstSummary[Est''d Azure vCPUs],InstSummary[DB Name],DBSummary[[#This Row],[DB Name]])+0.5,0))</f>
        <v/>
      </c>
      <c r="K43" s="203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3" s="134"/>
      <c r="M43" s="134"/>
    </row>
    <row r="44" spans="2:13" x14ac:dyDescent="0.2">
      <c r="B44" s="135"/>
      <c r="C44" s="147" t="str">
        <f>IF(DBSummary[[#This Row],[DB Name]]="","",SUMIFS(AWRData[DB Time (mins)],AWRData[DB Name],DBSummary[[#This Row],[DB Name]])/SUMIFS(AWRData[Elapsed Time (mins)],AWRData[DB Name],DBSummary[[#This Row],[DB Name]]))</f>
        <v/>
      </c>
      <c r="D44" s="148" t="str">
        <f>IF(DBSummary[[#This Row],[DB Name]]="","",SUMIFS(AWRData[ORA use (GB)],AWRData[DB Name],DBSummary[[#This Row],[DB Name]]))</f>
        <v/>
      </c>
      <c r="E44" s="198" t="str">
        <f>IF(DBSummary[[#This Row],[DB Name]]="","",PeakRAMfactor*DBSummary[[#This Row],[Observed memory (GiB) consumed only by Oracle]])</f>
        <v/>
      </c>
      <c r="F44" s="143" t="str">
        <f>IF(DBSummary[[#This Row],[DB Name]]="","",SUMIFS(AWRData[Total IOPS],AWRData[DB Name],DBSummary[[#This Row],[DB Name]]))</f>
        <v/>
      </c>
      <c r="G44" s="143" t="str">
        <f>IF(DBSummary[[#This Row],[DB Name]]="","",SUMIFS(AWRData[Total Throughput (MB/s)],AWRData[DB Name],DBSummary[[#This Row],[DB Name]]))</f>
        <v/>
      </c>
      <c r="H44" s="201" t="str">
        <f>IF(DBSummary[[#This Row],[DB Name]]="","",DBSummary[[#This Row],[Observed IOPS]]*IoMetricsFactor)</f>
        <v/>
      </c>
      <c r="I44" s="201" t="str">
        <f>IF(DBSummary[[#This Row],[DB Name]]="","",DBSummary[[#This Row],[Observed I/O throughput (MB/s)]]*IoMetricsFactor)</f>
        <v/>
      </c>
      <c r="J44" s="140" t="str">
        <f>IF(DBSummary[[#This Row],[DB Name]]="","",ROUND(SUMIFS(InstSummary[Est''d Azure vCPUs],InstSummary[DB Name],DBSummary[[#This Row],[DB Name]])+0.5,0))</f>
        <v/>
      </c>
      <c r="K44" s="202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4" s="136"/>
      <c r="M44" s="136"/>
    </row>
    <row r="45" spans="2:13" x14ac:dyDescent="0.2">
      <c r="B45" s="133"/>
      <c r="C45" s="145" t="str">
        <f>IF(DBSummary[[#This Row],[DB Name]]="","",SUMIFS(AWRData[DB Time (mins)],AWRData[DB Name],DBSummary[[#This Row],[DB Name]])/SUMIFS(AWRData[Elapsed Time (mins)],AWRData[DB Name],DBSummary[[#This Row],[DB Name]]))</f>
        <v/>
      </c>
      <c r="D45" s="146" t="str">
        <f>IF(DBSummary[[#This Row],[DB Name]]="","",SUMIFS(AWRData[ORA use (GB)],AWRData[DB Name],DBSummary[[#This Row],[DB Name]]))</f>
        <v/>
      </c>
      <c r="E45" s="199" t="str">
        <f>IF(DBSummary[[#This Row],[DB Name]]="","",PeakRAMfactor*DBSummary[[#This Row],[Observed memory (GiB) consumed only by Oracle]])</f>
        <v/>
      </c>
      <c r="F45" s="142" t="str">
        <f>IF(DBSummary[[#This Row],[DB Name]]="","",SUMIFS(AWRData[Total IOPS],AWRData[DB Name],DBSummary[[#This Row],[DB Name]]))</f>
        <v/>
      </c>
      <c r="G45" s="142" t="str">
        <f>IF(DBSummary[[#This Row],[DB Name]]="","",SUMIFS(AWRData[Total Throughput (MB/s)],AWRData[DB Name],DBSummary[[#This Row],[DB Name]]))</f>
        <v/>
      </c>
      <c r="H45" s="200" t="str">
        <f>IF(DBSummary[[#This Row],[DB Name]]="","",DBSummary[[#This Row],[Observed IOPS]]*IoMetricsFactor)</f>
        <v/>
      </c>
      <c r="I45" s="200" t="str">
        <f>IF(DBSummary[[#This Row],[DB Name]]="","",DBSummary[[#This Row],[Observed I/O throughput (MB/s)]]*IoMetricsFactor)</f>
        <v/>
      </c>
      <c r="J45" s="139" t="str">
        <f>IF(DBSummary[[#This Row],[DB Name]]="","",ROUND(SUMIFS(InstSummary[Est''d Azure vCPUs],InstSummary[DB Name],DBSummary[[#This Row],[DB Name]])+0.5,0))</f>
        <v/>
      </c>
      <c r="K45" s="203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5" s="134"/>
      <c r="M45" s="134"/>
    </row>
    <row r="46" spans="2:13" x14ac:dyDescent="0.2">
      <c r="B46" s="137"/>
      <c r="C46" s="147" t="str">
        <f>IF(DBSummary[[#This Row],[DB Name]]="","",SUMIFS(AWRData[DB Time (mins)],AWRData[DB Name],DBSummary[[#This Row],[DB Name]])/SUMIFS(AWRData[Elapsed Time (mins)],AWRData[DB Name],DBSummary[[#This Row],[DB Name]]))</f>
        <v/>
      </c>
      <c r="D46" s="148" t="str">
        <f>IF(DBSummary[[#This Row],[DB Name]]="","",SUMIFS(AWRData[ORA use (GB)],AWRData[DB Name],DBSummary[[#This Row],[DB Name]]))</f>
        <v/>
      </c>
      <c r="E46" s="198" t="str">
        <f>IF(DBSummary[[#This Row],[DB Name]]="","",PeakRAMfactor*DBSummary[[#This Row],[Observed memory (GiB) consumed only by Oracle]])</f>
        <v/>
      </c>
      <c r="F46" s="143" t="str">
        <f>IF(DBSummary[[#This Row],[DB Name]]="","",SUMIFS(AWRData[Total IOPS],AWRData[DB Name],DBSummary[[#This Row],[DB Name]]))</f>
        <v/>
      </c>
      <c r="G46" s="143" t="str">
        <f>IF(DBSummary[[#This Row],[DB Name]]="","",SUMIFS(AWRData[Total Throughput (MB/s)],AWRData[DB Name],DBSummary[[#This Row],[DB Name]]))</f>
        <v/>
      </c>
      <c r="H46" s="201" t="str">
        <f>IF(DBSummary[[#This Row],[DB Name]]="","",DBSummary[[#This Row],[Observed IOPS]]*IoMetricsFactor)</f>
        <v/>
      </c>
      <c r="I46" s="201" t="str">
        <f>IF(DBSummary[[#This Row],[DB Name]]="","",DBSummary[[#This Row],[Observed I/O throughput (MB/s)]]*IoMetricsFactor)</f>
        <v/>
      </c>
      <c r="J46" s="140" t="str">
        <f>IF(DBSummary[[#This Row],[DB Name]]="","",ROUND(SUMIFS(InstSummary[Est''d Azure vCPUs],InstSummary[DB Name],DBSummary[[#This Row],[DB Name]])+0.5,0))</f>
        <v/>
      </c>
      <c r="K46" s="202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6" s="136"/>
      <c r="M46" s="136"/>
    </row>
    <row r="47" spans="2:13" x14ac:dyDescent="0.2">
      <c r="B47" s="133"/>
      <c r="C47" s="145" t="str">
        <f>IF(DBSummary[[#This Row],[DB Name]]="","",SUMIFS(AWRData[DB Time (mins)],AWRData[DB Name],DBSummary[[#This Row],[DB Name]])/SUMIFS(AWRData[Elapsed Time (mins)],AWRData[DB Name],DBSummary[[#This Row],[DB Name]]))</f>
        <v/>
      </c>
      <c r="D47" s="146" t="str">
        <f>IF(DBSummary[[#This Row],[DB Name]]="","",SUMIFS(AWRData[ORA use (GB)],AWRData[DB Name],DBSummary[[#This Row],[DB Name]]))</f>
        <v/>
      </c>
      <c r="E47" s="199" t="str">
        <f>IF(DBSummary[[#This Row],[DB Name]]="","",PeakRAMfactor*DBSummary[[#This Row],[Observed memory (GiB) consumed only by Oracle]])</f>
        <v/>
      </c>
      <c r="F47" s="142" t="str">
        <f>IF(DBSummary[[#This Row],[DB Name]]="","",SUMIFS(AWRData[Total IOPS],AWRData[DB Name],DBSummary[[#This Row],[DB Name]]))</f>
        <v/>
      </c>
      <c r="G47" s="142" t="str">
        <f>IF(DBSummary[[#This Row],[DB Name]]="","",SUMIFS(AWRData[Total Throughput (MB/s)],AWRData[DB Name],DBSummary[[#This Row],[DB Name]]))</f>
        <v/>
      </c>
      <c r="H47" s="200" t="str">
        <f>IF(DBSummary[[#This Row],[DB Name]]="","",DBSummary[[#This Row],[Observed IOPS]]*IoMetricsFactor)</f>
        <v/>
      </c>
      <c r="I47" s="200" t="str">
        <f>IF(DBSummary[[#This Row],[DB Name]]="","",DBSummary[[#This Row],[Observed I/O throughput (MB/s)]]*IoMetricsFactor)</f>
        <v/>
      </c>
      <c r="J47" s="139" t="str">
        <f>IF(DBSummary[[#This Row],[DB Name]]="","",ROUND(SUMIFS(InstSummary[Est''d Azure vCPUs],InstSummary[DB Name],DBSummary[[#This Row],[DB Name]])+0.5,0))</f>
        <v/>
      </c>
      <c r="K47" s="203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7" s="134"/>
      <c r="M47" s="134"/>
    </row>
    <row r="48" spans="2:13" x14ac:dyDescent="0.2">
      <c r="B48" s="137"/>
      <c r="C48" s="147" t="str">
        <f>IF(DBSummary[[#This Row],[DB Name]]="","",SUMIFS(AWRData[DB Time (mins)],AWRData[DB Name],DBSummary[[#This Row],[DB Name]])/SUMIFS(AWRData[Elapsed Time (mins)],AWRData[DB Name],DBSummary[[#This Row],[DB Name]]))</f>
        <v/>
      </c>
      <c r="D48" s="148" t="str">
        <f>IF(DBSummary[[#This Row],[DB Name]]="","",SUMIFS(AWRData[ORA use (GB)],AWRData[DB Name],DBSummary[[#This Row],[DB Name]]))</f>
        <v/>
      </c>
      <c r="E48" s="198" t="str">
        <f>IF(DBSummary[[#This Row],[DB Name]]="","",PeakRAMfactor*DBSummary[[#This Row],[Observed memory (GiB) consumed only by Oracle]])</f>
        <v/>
      </c>
      <c r="F48" s="143" t="str">
        <f>IF(DBSummary[[#This Row],[DB Name]]="","",SUMIFS(AWRData[Total IOPS],AWRData[DB Name],DBSummary[[#This Row],[DB Name]]))</f>
        <v/>
      </c>
      <c r="G48" s="143" t="str">
        <f>IF(DBSummary[[#This Row],[DB Name]]="","",SUMIFS(AWRData[Total Throughput (MB/s)],AWRData[DB Name],DBSummary[[#This Row],[DB Name]]))</f>
        <v/>
      </c>
      <c r="H48" s="201" t="str">
        <f>IF(DBSummary[[#This Row],[DB Name]]="","",DBSummary[[#This Row],[Observed IOPS]]*IoMetricsFactor)</f>
        <v/>
      </c>
      <c r="I48" s="201" t="str">
        <f>IF(DBSummary[[#This Row],[DB Name]]="","",DBSummary[[#This Row],[Observed I/O throughput (MB/s)]]*IoMetricsFactor)</f>
        <v/>
      </c>
      <c r="J48" s="140" t="str">
        <f>IF(DBSummary[[#This Row],[DB Name]]="","",ROUND(SUMIFS(InstSummary[Est''d Azure vCPUs],InstSummary[DB Name],DBSummary[[#This Row],[DB Name]])+0.5,0))</f>
        <v/>
      </c>
      <c r="K48" s="202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8" s="136"/>
      <c r="M48" s="136"/>
    </row>
    <row r="49" spans="2:17" x14ac:dyDescent="0.2">
      <c r="B49" s="214" t="s">
        <v>7</v>
      </c>
      <c r="C49" s="149">
        <f>SUBTOTAL(109,DBSummary[%DB Time of Elapsed Time (aka Avg Active Sessions or "AAS")])</f>
        <v>0</v>
      </c>
      <c r="D49" s="150">
        <f>SUBTOTAL(109,DBSummary[Observed memory (GiB) consumed only by Oracle])</f>
        <v>0</v>
      </c>
      <c r="E49" s="199">
        <f>SUBTOTAL(109,DBSummary[Est''d Azure vRAM for server])</f>
        <v>0</v>
      </c>
      <c r="F49" s="144">
        <f>SUBTOTAL(109,DBSummary[Observed IOPS])</f>
        <v>0</v>
      </c>
      <c r="G49" s="144">
        <f>SUBTOTAL(109,DBSummary[Observed I/O throughput (MB/s)])</f>
        <v>0</v>
      </c>
      <c r="H49" s="200">
        <f>SUBTOTAL(109,DBSummary[Est''d Azure IOPS for peak load])</f>
        <v>0</v>
      </c>
      <c r="I49" s="200">
        <f>SUBTOTAL(109,DBSummary[Est''d Azure Throughput (MB/s) for peak load])</f>
        <v>0</v>
      </c>
      <c r="J49" s="141">
        <f>SUBTOTAL(109,DBSummary[Est''d Azure vCPUs for avg load])</f>
        <v>0</v>
      </c>
      <c r="K49" s="203">
        <f>SUBTOTAL(109,DBSummary[Est''d Azure vCPUs for peak load])</f>
        <v>0</v>
      </c>
      <c r="L49" s="212">
        <f>SUM(L39, L40, L41, L42, L43, L44, L45, L46, L47, L48)</f>
        <v>0</v>
      </c>
      <c r="M49" s="212">
        <f>SUM(M39, M40, M41, M42, M43, M44, M45, M46, M47, M48)</f>
        <v>0</v>
      </c>
    </row>
    <row r="50" spans="2:17" x14ac:dyDescent="0.2">
      <c r="C50" s="6"/>
      <c r="D50" s="19"/>
      <c r="E50" s="7"/>
      <c r="F50" s="7"/>
      <c r="G50" s="20"/>
      <c r="H50" s="8"/>
      <c r="I50" s="6"/>
      <c r="J50" s="6"/>
      <c r="K50" s="6"/>
      <c r="L50" s="224" t="s">
        <v>80</v>
      </c>
      <c r="M50" s="225"/>
      <c r="N50" s="23"/>
    </row>
    <row r="51" spans="2:17" ht="16" thickBot="1" x14ac:dyDescent="0.25">
      <c r="C51" s="6"/>
      <c r="D51" s="19"/>
      <c r="E51" s="7"/>
      <c r="F51" s="7"/>
      <c r="G51" s="20"/>
      <c r="H51" s="8"/>
      <c r="I51" s="6"/>
      <c r="J51" s="6"/>
      <c r="K51" s="6"/>
      <c r="L51" s="21"/>
      <c r="M51" s="22"/>
      <c r="N51" s="23"/>
    </row>
    <row r="52" spans="2:17" ht="19" x14ac:dyDescent="0.25">
      <c r="B52" s="208" t="s">
        <v>57</v>
      </c>
      <c r="C52" s="209"/>
      <c r="D52" s="210"/>
      <c r="E52" s="9"/>
      <c r="F52" s="9"/>
      <c r="G52" s="9"/>
      <c r="H52" s="9"/>
      <c r="I52" s="9"/>
      <c r="J52" s="9"/>
      <c r="K52" s="9"/>
      <c r="L52" s="9"/>
      <c r="M52" s="9"/>
    </row>
    <row r="53" spans="2:17" ht="16" thickBot="1" x14ac:dyDescent="0.25">
      <c r="B53" s="47" t="s">
        <v>58</v>
      </c>
      <c r="C53" s="48"/>
      <c r="D53" s="48"/>
      <c r="F53" s="49"/>
      <c r="G53" s="50" t="s">
        <v>59</v>
      </c>
      <c r="H53" s="50"/>
      <c r="I53" s="51"/>
      <c r="K53" t="s">
        <v>60</v>
      </c>
    </row>
    <row r="54" spans="2:17" ht="16" thickBot="1" x14ac:dyDescent="0.25">
      <c r="B54" s="52" t="s">
        <v>0</v>
      </c>
      <c r="C54" s="221" t="s">
        <v>85</v>
      </c>
      <c r="D54" s="222" t="s">
        <v>61</v>
      </c>
      <c r="E54" s="222" t="s">
        <v>62</v>
      </c>
      <c r="F54" s="53" t="s">
        <v>63</v>
      </c>
      <c r="G54" s="53" t="s">
        <v>64</v>
      </c>
      <c r="H54" s="53" t="s">
        <v>65</v>
      </c>
      <c r="I54" s="54" t="s">
        <v>66</v>
      </c>
      <c r="J54" s="223" t="s">
        <v>66</v>
      </c>
      <c r="K54" s="78" t="s">
        <v>82</v>
      </c>
      <c r="L54" s="78" t="s">
        <v>83</v>
      </c>
      <c r="M54" s="56" t="s">
        <v>84</v>
      </c>
      <c r="N54" s="223" t="s">
        <v>68</v>
      </c>
      <c r="O54" s="49" t="s">
        <v>69</v>
      </c>
      <c r="P54" s="223" t="s">
        <v>77</v>
      </c>
      <c r="Q54" s="55" t="s">
        <v>76</v>
      </c>
    </row>
    <row r="55" spans="2:17" ht="16" x14ac:dyDescent="0.2">
      <c r="B55" s="83"/>
      <c r="C55" s="84"/>
      <c r="D55" s="57"/>
      <c r="E55" s="58"/>
      <c r="F55" s="59"/>
      <c r="G55" s="60"/>
      <c r="H55" s="60"/>
      <c r="I55" s="61"/>
      <c r="J55" s="62"/>
      <c r="K55" s="128">
        <f t="shared" ref="K55:K65" si="0">SUM(K49:K54)</f>
        <v>0</v>
      </c>
      <c r="L55" s="128">
        <f t="shared" ref="L55:L65" si="1">SUM(L49)</f>
        <v>0</v>
      </c>
      <c r="M55" s="128">
        <f t="shared" ref="M55:M64" si="2">SUM(L55)</f>
        <v>0</v>
      </c>
      <c r="N55" s="62"/>
      <c r="O55" s="81"/>
      <c r="P55" s="62"/>
      <c r="Q55" s="79"/>
    </row>
    <row r="56" spans="2:17" ht="16" x14ac:dyDescent="0.2">
      <c r="B56" s="85"/>
      <c r="C56" s="86"/>
      <c r="D56" s="57"/>
      <c r="E56" s="58"/>
      <c r="F56" s="59"/>
      <c r="G56" s="60"/>
      <c r="H56" s="60"/>
      <c r="I56" s="61"/>
      <c r="J56" s="62"/>
      <c r="K56" s="128">
        <f t="shared" si="0"/>
        <v>0</v>
      </c>
      <c r="L56" s="128">
        <f t="shared" si="1"/>
        <v>0</v>
      </c>
      <c r="M56" s="128">
        <f t="shared" si="2"/>
        <v>0</v>
      </c>
      <c r="N56" s="62"/>
      <c r="O56" s="81"/>
      <c r="P56" s="62"/>
      <c r="Q56" s="79"/>
    </row>
    <row r="57" spans="2:17" ht="16" x14ac:dyDescent="0.2">
      <c r="B57" s="87"/>
      <c r="C57" s="86"/>
      <c r="D57" s="57"/>
      <c r="E57" s="58"/>
      <c r="F57" s="59"/>
      <c r="G57" s="60"/>
      <c r="H57" s="60"/>
      <c r="I57" s="61"/>
      <c r="J57" s="62"/>
      <c r="K57" s="128">
        <f t="shared" si="0"/>
        <v>0</v>
      </c>
      <c r="L57" s="128">
        <f t="shared" si="1"/>
        <v>0</v>
      </c>
      <c r="M57" s="128">
        <f t="shared" si="2"/>
        <v>0</v>
      </c>
      <c r="N57" s="62"/>
      <c r="O57" s="81"/>
      <c r="P57" s="62"/>
      <c r="Q57" s="79"/>
    </row>
    <row r="58" spans="2:17" ht="16" x14ac:dyDescent="0.2">
      <c r="B58" s="85"/>
      <c r="C58" s="88"/>
      <c r="D58" s="57"/>
      <c r="E58" s="58"/>
      <c r="F58" s="59"/>
      <c r="G58" s="60"/>
      <c r="H58" s="60"/>
      <c r="I58" s="61"/>
      <c r="J58" s="62"/>
      <c r="K58" s="128">
        <f t="shared" si="0"/>
        <v>0</v>
      </c>
      <c r="L58" s="128">
        <f t="shared" si="1"/>
        <v>0</v>
      </c>
      <c r="M58" s="128">
        <f t="shared" si="2"/>
        <v>0</v>
      </c>
      <c r="N58" s="62"/>
      <c r="O58" s="81"/>
      <c r="P58" s="62"/>
      <c r="Q58" s="79"/>
    </row>
    <row r="59" spans="2:17" ht="16" x14ac:dyDescent="0.2">
      <c r="B59" s="87"/>
      <c r="C59" s="89"/>
      <c r="D59" s="57"/>
      <c r="E59" s="58"/>
      <c r="F59" s="59"/>
      <c r="G59" s="60"/>
      <c r="H59" s="60"/>
      <c r="I59" s="61"/>
      <c r="J59" s="62"/>
      <c r="K59" s="128">
        <f t="shared" si="0"/>
        <v>0</v>
      </c>
      <c r="L59" s="128">
        <f t="shared" si="1"/>
        <v>0</v>
      </c>
      <c r="M59" s="128">
        <f t="shared" si="2"/>
        <v>0</v>
      </c>
      <c r="N59" s="62"/>
      <c r="O59" s="81"/>
      <c r="P59" s="62"/>
      <c r="Q59" s="79"/>
    </row>
    <row r="60" spans="2:17" ht="16" x14ac:dyDescent="0.2">
      <c r="B60" s="87"/>
      <c r="C60" s="89"/>
      <c r="D60" s="57"/>
      <c r="E60" s="58"/>
      <c r="F60" s="59"/>
      <c r="G60" s="60"/>
      <c r="H60" s="60"/>
      <c r="I60" s="61"/>
      <c r="J60" s="62"/>
      <c r="K60" s="128">
        <f t="shared" si="0"/>
        <v>0</v>
      </c>
      <c r="L60" s="128">
        <f t="shared" si="1"/>
        <v>0</v>
      </c>
      <c r="M60" s="128">
        <f t="shared" si="2"/>
        <v>0</v>
      </c>
      <c r="N60" s="62"/>
      <c r="O60" s="81"/>
      <c r="P60" s="62"/>
      <c r="Q60" s="79"/>
    </row>
    <row r="61" spans="2:17" ht="16" x14ac:dyDescent="0.2">
      <c r="B61" s="87"/>
      <c r="C61" s="89"/>
      <c r="D61" s="57"/>
      <c r="E61" s="58"/>
      <c r="F61" s="59"/>
      <c r="G61" s="60"/>
      <c r="H61" s="60"/>
      <c r="I61" s="61"/>
      <c r="J61" s="62"/>
      <c r="K61" s="128">
        <f t="shared" si="0"/>
        <v>0</v>
      </c>
      <c r="L61" s="128">
        <f t="shared" si="1"/>
        <v>0</v>
      </c>
      <c r="M61" s="128">
        <f t="shared" si="2"/>
        <v>0</v>
      </c>
      <c r="N61" s="62"/>
      <c r="O61" s="81"/>
      <c r="P61" s="62"/>
      <c r="Q61" s="79"/>
    </row>
    <row r="62" spans="2:17" ht="16" x14ac:dyDescent="0.2">
      <c r="B62" s="87"/>
      <c r="C62" s="89"/>
      <c r="D62" s="57"/>
      <c r="E62" s="58"/>
      <c r="F62" s="59"/>
      <c r="G62" s="60"/>
      <c r="H62" s="60"/>
      <c r="I62" s="61"/>
      <c r="J62" s="62"/>
      <c r="K62" s="128">
        <f t="shared" si="0"/>
        <v>0</v>
      </c>
      <c r="L62" s="128">
        <f t="shared" si="1"/>
        <v>0</v>
      </c>
      <c r="M62" s="128">
        <f t="shared" si="2"/>
        <v>0</v>
      </c>
      <c r="N62" s="62"/>
      <c r="O62" s="81"/>
      <c r="P62" s="62"/>
      <c r="Q62" s="79"/>
    </row>
    <row r="63" spans="2:17" ht="16" x14ac:dyDescent="0.2">
      <c r="B63" s="87"/>
      <c r="C63" s="89"/>
      <c r="D63" s="57"/>
      <c r="E63" s="58"/>
      <c r="F63" s="59"/>
      <c r="G63" s="60"/>
      <c r="H63" s="60"/>
      <c r="I63" s="61"/>
      <c r="J63" s="62"/>
      <c r="K63" s="128">
        <f t="shared" si="0"/>
        <v>0</v>
      </c>
      <c r="L63" s="128">
        <f t="shared" si="1"/>
        <v>0</v>
      </c>
      <c r="M63" s="128">
        <f t="shared" si="2"/>
        <v>0</v>
      </c>
      <c r="N63" s="62"/>
      <c r="O63" s="81"/>
      <c r="P63" s="62"/>
      <c r="Q63" s="79"/>
    </row>
    <row r="64" spans="2:17" ht="17" thickBot="1" x14ac:dyDescent="0.25">
      <c r="B64" s="87"/>
      <c r="C64" s="86"/>
      <c r="D64" s="57"/>
      <c r="E64" s="58"/>
      <c r="F64" s="59"/>
      <c r="G64" s="60"/>
      <c r="H64" s="60"/>
      <c r="I64" s="61"/>
      <c r="J64" s="63"/>
      <c r="K64" s="129">
        <f t="shared" si="0"/>
        <v>0</v>
      </c>
      <c r="L64" s="129">
        <f t="shared" si="1"/>
        <v>0</v>
      </c>
      <c r="M64" s="130">
        <f t="shared" si="2"/>
        <v>0</v>
      </c>
      <c r="N64" s="63"/>
      <c r="O64" s="82"/>
      <c r="P64" s="63"/>
      <c r="Q64" s="80"/>
    </row>
    <row r="65" spans="2:17" ht="17" thickBot="1" x14ac:dyDescent="0.25">
      <c r="B65" s="90"/>
      <c r="C65" s="91"/>
      <c r="D65" s="57"/>
      <c r="E65" s="64"/>
      <c r="F65" s="65"/>
      <c r="G65" s="65"/>
      <c r="H65" s="65"/>
      <c r="I65" s="66"/>
      <c r="J65" s="67" t="s">
        <v>86</v>
      </c>
      <c r="K65" s="131">
        <f t="shared" si="0"/>
        <v>0</v>
      </c>
      <c r="L65" s="131">
        <f t="shared" si="1"/>
        <v>0</v>
      </c>
      <c r="M65" s="131">
        <f>SUM(M55:M64)</f>
        <v>0</v>
      </c>
      <c r="N65" s="68" t="s">
        <v>87</v>
      </c>
      <c r="O65" s="131">
        <f>SUM(O55:O64)</f>
        <v>0</v>
      </c>
      <c r="P65" s="77" t="s">
        <v>88</v>
      </c>
      <c r="Q65" s="132">
        <f>SUM(Q55:Q64)</f>
        <v>0</v>
      </c>
    </row>
    <row r="66" spans="2:17" ht="16" thickBot="1" x14ac:dyDescent="0.25">
      <c r="B66" t="s">
        <v>60</v>
      </c>
      <c r="D66" s="70"/>
      <c r="E66" s="121" t="s">
        <v>70</v>
      </c>
      <c r="F66" s="122">
        <f>SUM(F55:F65)</f>
        <v>0</v>
      </c>
      <c r="G66" s="123">
        <f>SUM(G55:G65)</f>
        <v>0</v>
      </c>
      <c r="H66" s="124">
        <f>SUM(H55:H65)</f>
        <v>0</v>
      </c>
      <c r="I66" s="76"/>
      <c r="J66" t="s">
        <v>60</v>
      </c>
      <c r="N66" s="69"/>
    </row>
    <row r="67" spans="2:17" x14ac:dyDescent="0.2">
      <c r="D67" s="71"/>
      <c r="E67" s="125" t="s">
        <v>67</v>
      </c>
      <c r="F67" s="126">
        <f>SUM(K65)</f>
        <v>0</v>
      </c>
      <c r="G67" s="126">
        <f>SUM(L65)</f>
        <v>0</v>
      </c>
      <c r="H67" s="126">
        <f>SUM(M65)</f>
        <v>0</v>
      </c>
      <c r="M67" s="72" t="s">
        <v>60</v>
      </c>
      <c r="N67" s="69"/>
    </row>
    <row r="68" spans="2:17" x14ac:dyDescent="0.2">
      <c r="E68" s="125" t="s">
        <v>69</v>
      </c>
      <c r="F68" s="126">
        <f>SUM(O65)</f>
        <v>0</v>
      </c>
      <c r="G68" s="126">
        <f>SUM(O65)</f>
        <v>0</v>
      </c>
      <c r="H68" s="126">
        <f>SUM(O65)</f>
        <v>0</v>
      </c>
    </row>
    <row r="69" spans="2:17" ht="16" thickBot="1" x14ac:dyDescent="0.25">
      <c r="B69" s="73" t="s">
        <v>60</v>
      </c>
      <c r="E69" s="125" t="s">
        <v>76</v>
      </c>
      <c r="F69" s="127">
        <f>SUM(Q65)</f>
        <v>0</v>
      </c>
      <c r="G69" s="127">
        <f>SUM(Q65)</f>
        <v>0</v>
      </c>
      <c r="H69" s="127">
        <f>SUM(Q65)</f>
        <v>0</v>
      </c>
    </row>
    <row r="70" spans="2:17" ht="16" thickBot="1" x14ac:dyDescent="0.25">
      <c r="E70" s="74" t="s">
        <v>71</v>
      </c>
      <c r="F70" s="205">
        <f>SUM(F66:F69)</f>
        <v>0</v>
      </c>
      <c r="G70" s="206">
        <f>SUM(G66:G69)</f>
        <v>0</v>
      </c>
      <c r="H70" s="207">
        <f>SUM(H66:H69)</f>
        <v>0</v>
      </c>
    </row>
    <row r="72" spans="2:17" ht="16" thickBot="1" x14ac:dyDescent="0.25"/>
    <row r="73" spans="2:17" ht="19" x14ac:dyDescent="0.25">
      <c r="B73" s="75" t="s">
        <v>72</v>
      </c>
      <c r="C73" s="220" t="s">
        <v>73</v>
      </c>
      <c r="D73" s="182"/>
      <c r="E73" s="183"/>
      <c r="F73" s="182"/>
      <c r="G73" s="183"/>
      <c r="H73" s="183"/>
      <c r="I73" s="183"/>
      <c r="J73" s="183"/>
      <c r="K73" s="183"/>
      <c r="L73" s="183"/>
      <c r="M73" s="184"/>
    </row>
    <row r="74" spans="2:17" x14ac:dyDescent="0.2">
      <c r="C74" s="185" t="s">
        <v>60</v>
      </c>
      <c r="D74" s="186"/>
      <c r="E74" s="187"/>
      <c r="F74" s="186"/>
      <c r="G74" s="188"/>
      <c r="H74" s="188"/>
      <c r="I74" s="188"/>
      <c r="J74" s="188"/>
      <c r="K74" s="188"/>
      <c r="L74" s="188"/>
      <c r="M74" s="189"/>
    </row>
    <row r="75" spans="2:17" x14ac:dyDescent="0.2">
      <c r="C75" s="190"/>
      <c r="D75" s="191"/>
      <c r="E75" s="188"/>
      <c r="F75" s="191"/>
      <c r="G75" s="188"/>
      <c r="H75" s="188"/>
      <c r="I75" s="188"/>
      <c r="J75" s="188"/>
      <c r="K75" s="188"/>
      <c r="L75" s="188"/>
      <c r="M75" s="189"/>
    </row>
    <row r="76" spans="2:17" x14ac:dyDescent="0.2">
      <c r="C76" s="190"/>
      <c r="D76" s="191"/>
      <c r="E76" s="188"/>
      <c r="F76" s="191"/>
      <c r="G76" s="188"/>
      <c r="H76" s="188"/>
      <c r="I76" s="188"/>
      <c r="J76" s="188"/>
      <c r="K76" s="188"/>
      <c r="L76" s="188"/>
      <c r="M76" s="189"/>
    </row>
    <row r="77" spans="2:17" ht="16" thickBot="1" x14ac:dyDescent="0.25">
      <c r="C77" s="192"/>
      <c r="D77" s="193"/>
      <c r="E77" s="194"/>
      <c r="F77" s="193"/>
      <c r="G77" s="194"/>
      <c r="H77" s="194"/>
      <c r="I77" s="194"/>
      <c r="J77" s="194"/>
      <c r="K77" s="194"/>
      <c r="L77" s="194"/>
      <c r="M77" s="195"/>
    </row>
    <row r="78" spans="2:17" ht="16" thickBot="1" x14ac:dyDescent="0.25">
      <c r="F78"/>
      <c r="G78" s="3"/>
      <c r="H78"/>
      <c r="I78" s="3"/>
    </row>
    <row r="79" spans="2:17" x14ac:dyDescent="0.2">
      <c r="C79" s="109" t="s">
        <v>74</v>
      </c>
      <c r="D79" s="110"/>
      <c r="E79" s="110"/>
      <c r="F79" s="110"/>
      <c r="G79" s="111"/>
      <c r="H79" s="110"/>
      <c r="I79" s="111"/>
      <c r="J79" s="110"/>
      <c r="K79" s="110"/>
      <c r="L79" s="110"/>
      <c r="M79" s="112"/>
    </row>
    <row r="80" spans="2:17" x14ac:dyDescent="0.2">
      <c r="C80" s="113" t="s">
        <v>60</v>
      </c>
      <c r="D80" s="114"/>
      <c r="E80" s="114"/>
      <c r="F80" s="114"/>
      <c r="G80" s="115"/>
      <c r="H80" s="114"/>
      <c r="I80" s="115"/>
      <c r="J80" s="114"/>
      <c r="K80" s="114"/>
      <c r="L80" s="114"/>
      <c r="M80" s="116"/>
    </row>
    <row r="81" spans="3:13" ht="16" thickBot="1" x14ac:dyDescent="0.25">
      <c r="C81" s="117" t="s">
        <v>60</v>
      </c>
      <c r="D81" s="118"/>
      <c r="E81" s="118"/>
      <c r="F81" s="118"/>
      <c r="G81" s="119"/>
      <c r="H81" s="118"/>
      <c r="I81" s="119"/>
      <c r="J81" s="118"/>
      <c r="K81" s="118"/>
      <c r="L81" s="118"/>
      <c r="M81" s="120"/>
    </row>
  </sheetData>
  <phoneticPr fontId="2" type="noConversion"/>
  <hyperlinks>
    <hyperlink ref="C73" r:id="rId1" display="https://docs.microsoft.com/en-us/azure/virtual-machines/constrained-vcpu" xr:uid="{6ADD49D3-8131-496E-BCB5-861DA180B580}"/>
    <hyperlink ref="L50" r:id="rId2" xr:uid="{10F3A9AC-6112-4905-A1FE-A5CE82DCA7A1}"/>
  </hyperlinks>
  <pageMargins left="0.7" right="0.7" top="0.75" bottom="0.75" header="0.3" footer="0.3"/>
  <pageSetup orientation="portrait" r:id="rId3"/>
  <drawing r:id="rId4"/>
  <legacyDrawing r:id="rId5"/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43520-B58B-441F-A1FD-5ECE162A035C}">
  <dimension ref="A1:C1"/>
  <sheetViews>
    <sheetView showGridLines="0" workbookViewId="0">
      <selection activeCell="F6" sqref="F6"/>
    </sheetView>
  </sheetViews>
  <sheetFormatPr baseColWidth="10" defaultColWidth="8.83203125" defaultRowHeight="15" x14ac:dyDescent="0.2"/>
  <sheetData>
    <row r="1" spans="1:3" ht="19" x14ac:dyDescent="0.25">
      <c r="A1" s="219" t="s">
        <v>75</v>
      </c>
      <c r="B1" s="188"/>
      <c r="C1" s="188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MediaServiceKeyPoints xmlns="709bd4f9-040f-4cca-82ee-85e01badb8b3" xsi:nil="true"/>
    <_ip_UnifiedCompliancePolicyProperties xmlns="http://schemas.microsoft.com/sharepoint/v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6490EF29A8047ADC3474B21C0D5D2" ma:contentTypeVersion="16" ma:contentTypeDescription="Create a new document." ma:contentTypeScope="" ma:versionID="b1ba9ada44db26285f25ae59fe6753d3">
  <xsd:schema xmlns:xsd="http://www.w3.org/2001/XMLSchema" xmlns:xs="http://www.w3.org/2001/XMLSchema" xmlns:p="http://schemas.microsoft.com/office/2006/metadata/properties" xmlns:ns1="http://schemas.microsoft.com/sharepoint/v3" xmlns:ns2="709bd4f9-040f-4cca-82ee-85e01badb8b3" xmlns:ns3="83981cbb-c48d-49a8-924d-c522c711d780" targetNamespace="http://schemas.microsoft.com/office/2006/metadata/properties" ma:root="true" ma:fieldsID="56a803f29a92f7465b533ec2296193fd" ns1:_="" ns2:_="" ns3:_="">
    <xsd:import namespace="http://schemas.microsoft.com/sharepoint/v3"/>
    <xsd:import namespace="709bd4f9-040f-4cca-82ee-85e01badb8b3"/>
    <xsd:import namespace="83981cbb-c48d-49a8-924d-c522c711d7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bd4f9-040f-4cca-82ee-85e01badb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MediaServiceAutoTags" ma:internalName="MediaServiceAutoTags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981cbb-c48d-49a8-924d-c522c711d78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52EF7B-3670-4E03-878B-51C8ACBF2DB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B732D79-BF18-4F6E-BC47-1A6C6745ED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30638A-4889-4E15-9F6E-ED97FA1166E7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09bd4f9-040f-4cca-82ee-85e01badb8b3"/>
  </ds:schemaRefs>
</ds:datastoreItem>
</file>

<file path=customXml/itemProps4.xml><?xml version="1.0" encoding="utf-8"?>
<ds:datastoreItem xmlns:ds="http://schemas.openxmlformats.org/officeDocument/2006/customXml" ds:itemID="{0E063D0E-B104-4273-A903-1BD29421A6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09bd4f9-040f-4cca-82ee-85e01badb8b3"/>
    <ds:schemaRef ds:uri="83981cbb-c48d-49a8-924d-c522c711d7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AWR</vt:lpstr>
      <vt:lpstr>Calculations</vt:lpstr>
      <vt:lpstr>Architecture</vt:lpstr>
      <vt:lpstr>BusyCPUfactor</vt:lpstr>
      <vt:lpstr>BusyCPUmultiplier</vt:lpstr>
      <vt:lpstr>HighCpuThreshold</vt:lpstr>
      <vt:lpstr>IoMetricsFactor</vt:lpstr>
      <vt:lpstr>AWR!PeakCPUfactor</vt:lpstr>
      <vt:lpstr>PeakCpuFactor</vt:lpstr>
      <vt:lpstr>AWR!PeakRAMfactor</vt:lpstr>
      <vt:lpstr>PeakRAMfactor</vt:lpstr>
      <vt:lpstr>vCPUHTFactor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Kellyn Gorman</dc:creator>
  <cp:keywords/>
  <dc:description/>
  <cp:lastModifiedBy>Kellyn Gorman</cp:lastModifiedBy>
  <cp:revision/>
  <dcterms:created xsi:type="dcterms:W3CDTF">2020-01-17T18:08:18Z</dcterms:created>
  <dcterms:modified xsi:type="dcterms:W3CDTF">2023-09-25T21:44:56Z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2020-01-17T18:08:19Z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6a007b27-0aa1-42be-8cfa-00007f045610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0x010100EF66490EF29A8047ADC3474B21C0D5D2</vt:lpwstr>
  </property>
</Properties>
</file>